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kylecain/Library/Mobile Documents/com~apple~CloudDocs/"/>
    </mc:Choice>
  </mc:AlternateContent>
  <xr:revisionPtr revIDLastSave="0" documentId="8_{8BF59EFE-815E-314D-A049-33ABD485A5EE}" xr6:coauthVersionLast="47" xr6:coauthVersionMax="47" xr10:uidLastSave="{00000000-0000-0000-0000-000000000000}"/>
  <bookViews>
    <workbookView xWindow="34400" yWindow="13920" windowWidth="34400" windowHeight="13320" tabRatio="810" xr2:uid="{00000000-000D-0000-FFFF-FFFF00000000}"/>
  </bookViews>
  <sheets>
    <sheet name="Cheat Sheet" sheetId="1" r:id="rId1"/>
    <sheet name="Scoring" sheetId="2" state="hidden" r:id="rId2"/>
    <sheet name="Audit and Accountability" sheetId="3" r:id="rId3"/>
    <sheet name="Configuration Management" sheetId="4" r:id="rId4"/>
    <sheet name="Identification and Authenticati" sheetId="5" r:id="rId5"/>
    <sheet name="Incident Response" sheetId="6" r:id="rId6"/>
    <sheet name="Maintenance" sheetId="7" r:id="rId7"/>
    <sheet name="Media Protection" sheetId="8" r:id="rId8"/>
    <sheet name="Personnel Security" sheetId="9" r:id="rId9"/>
    <sheet name="Physical Protection" sheetId="10" r:id="rId10"/>
    <sheet name="Risk Assessment" sheetId="11" r:id="rId11"/>
    <sheet name="Security Assessment" sheetId="12" r:id="rId12"/>
    <sheet name="System and Communications Prote" sheetId="13" r:id="rId13"/>
    <sheet name="System and Information Integrit" sheetId="14" r:id="rId14"/>
  </sheets>
  <definedNames>
    <definedName name="Copyright_Text">#REF!</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12" i="1" l="1"/>
</calcChain>
</file>

<file path=xl/sharedStrings.xml><?xml version="1.0" encoding="utf-8"?>
<sst xmlns="http://schemas.openxmlformats.org/spreadsheetml/2006/main" count="665" uniqueCount="465">
  <si>
    <t>DOMAIN</t>
  </si>
  <si>
    <t>CONTROL</t>
  </si>
  <si>
    <t>CONTOL REQUIREMENT</t>
  </si>
  <si>
    <t>Responsible</t>
  </si>
  <si>
    <t>Topics</t>
  </si>
  <si>
    <t>Evidence submitted</t>
  </si>
  <si>
    <t>Screenshare</t>
  </si>
  <si>
    <t>Notes</t>
  </si>
  <si>
    <t>**Be able to screenshare all evidence that was submitted**</t>
  </si>
  <si>
    <t>Access Control
( AC )</t>
  </si>
  <si>
    <t>AC.L2-3.1.1</t>
  </si>
  <si>
    <t>Limit system access to authorized users, processes acting on behalf of authorized users, and devices (Including other systems).</t>
  </si>
  <si>
    <t>IT</t>
  </si>
  <si>
    <t>Active Directory/Entra ID users (regular/adm/adm.da/svAccts)
New hires ([HRIS]/[HR Process] task)
External User Access Procedure (EUAP) process (workflow generates an email notifying HD, Security, and/or Payroll)
All authorized devices (laptops, mobile devices, etc.)
No guest accounts/unauthorized devices</t>
  </si>
  <si>
    <t>AD users
VDI, laptops, Intune-enrolled corporate/BYOD (MDM/MAM) devices
Entra ID/AD groups and memberships</t>
  </si>
  <si>
    <t>AC.L2-3.1.2</t>
  </si>
  <si>
    <t>Limit system access to the types of transactions and functions that authorized users are permitted to execute.</t>
  </si>
  <si>
    <t>AD/Entra ID account permissions
Firewall rules</t>
  </si>
  <si>
    <t xml:space="preserve">Entra ID/AD user access/group-based permissions
Palo firewall rules showing user- and group-based limitations
</t>
  </si>
  <si>
    <t>*AC.L2-3.1.3</t>
  </si>
  <si>
    <t>Control the flow of CUI in accordance with approved authorizations.</t>
  </si>
  <si>
    <t>*AC.L2-3.1.4</t>
  </si>
  <si>
    <t>Separate the duties of individuals to reduce the risk of malevolent activity without collusion.</t>
  </si>
  <si>
    <t xml:space="preserve">Responsibility Matrix
Administrative  vs Regular User - helpdesk ticket request/approval
IT vs Finance vs HR roles/separation </t>
  </si>
  <si>
    <t>ADM account request ticket/approval workflow
Responsibility Matrix
IT Manual role definitions</t>
  </si>
  <si>
    <t>AC.L2-3.1.5</t>
  </si>
  <si>
    <t>Employ the principle of least privilege, including for specific security functions and privileged accounts.</t>
  </si>
  <si>
    <t>Application sign-in attempts to show admin account can't access regular user function and vice versa</t>
  </si>
  <si>
    <t>*AC.L2-3.1.6</t>
  </si>
  <si>
    <t>Use non-privileged accounts or roles when accessing nonsecurity functions.</t>
  </si>
  <si>
    <t>Regular vs administrative vs service account - uses/restrictions of across applications/services, etc.</t>
  </si>
  <si>
    <t>*AC.L2-3.1.7</t>
  </si>
  <si>
    <t>Prevent non-privileged users from executing privileged functions and capture the execution of such functions in audit logs.</t>
  </si>
  <si>
    <t xml:space="preserve">New user account creation - helpdesk ticket
Audit log capture of administrative capability execution
</t>
  </si>
  <si>
    <t>DW logs showing successful/failure of administrative capability execution</t>
  </si>
  <si>
    <t>*AC.L2-3.1.8</t>
  </si>
  <si>
    <t>Limit unsuccessful logon attempts.</t>
  </si>
  <si>
    <t>GPO's/Platform/infrastructure configurations for logon attempts</t>
  </si>
  <si>
    <t>Default Domain Policy GPO for login attempts/lockouts
Intune configurations for Apple devices
Entra ID configuration for all lockouts in M365
RSA lockout configuration</t>
  </si>
  <si>
    <t>*AC.L2-3.1.9</t>
  </si>
  <si>
    <t>Provide privacy and security notices consistent with applicable CUI rules.</t>
  </si>
  <si>
    <t>Banners at login screens for M365, devices, etc.
CUI stickers on CUI assets (laptops, printers, etc.)
CUI banners/display content near areas where CUI is handled</t>
  </si>
  <si>
    <t>Login banners (justify with CISA documentation)
CUI stickers on assets and notices throughout facilities</t>
  </si>
  <si>
    <t>*AC.L2-3.1.10</t>
  </si>
  <si>
    <t>Use session lock with pattern-hiding displays to prevent access and viewing of data after a period of inactivity.</t>
  </si>
  <si>
    <t xml:space="preserve">Session timeouts/lockouts across devices/platforms
</t>
  </si>
  <si>
    <t>Screenshare of settings for session lockouts</t>
  </si>
  <si>
    <t>*AC.L2-3.1.11</t>
  </si>
  <si>
    <t>Terminate (automatically) a user session after a defined condition.</t>
  </si>
  <si>
    <t xml:space="preserve">Session terminations across devices/platforms
</t>
  </si>
  <si>
    <t>Screenshare of settings for session terminations</t>
  </si>
  <si>
    <t>AC.L2-3.1.12</t>
  </si>
  <si>
    <t>Monitor and control remote access sessions.</t>
  </si>
  <si>
    <t>VPN, M365, Intune, [VDI]
DW log monitoring; Dark Cubed</t>
  </si>
  <si>
    <t>CA Policies and configurations; Palo (firewall) HIP check; Network admins group; [VDI] group access; internal RDP, SSH and [RMM Tool]
DW log monitoring (show difference between location-based IP addresses, if coming from internal or VPN VLAN); Dark Cubed</t>
  </si>
  <si>
    <t>AC.L2-3.1.13</t>
  </si>
  <si>
    <t>Employ cryptographic mechanisms to protect the confidentiality of remote access sessions.</t>
  </si>
  <si>
    <t>TLS and crypto configurations on the Palo; global protect VPN agents; IPSec tunnel crypto; FIPS-CC mode on Palo and GP agents
[VDI] VDI FIPS mode - connection servers, UAGs, GPOs</t>
  </si>
  <si>
    <t>Be able to show: TLS and crypto configurations on the Palo; global protect agents; IPSec tunnel crypto; FIPS-CC mode on Palo and GP agents
[VDI] FIPS mode
RDP encryption via GPO
FIPS mode across windows
SSH keys</t>
  </si>
  <si>
    <t>*AC.L2-3.1.14</t>
  </si>
  <si>
    <t>Route remote access via managed access control points.</t>
  </si>
  <si>
    <t>Access through Palo/VPN gateway; conditional access policies; [VDI] access back to corporate throught the DMZ</t>
  </si>
  <si>
    <t>Show the group based access and connections in the firewall</t>
  </si>
  <si>
    <t>*AC.L2-3.1.15</t>
  </si>
  <si>
    <t>Authorize remote execution of privileged commands and remote access to security-relevant information.</t>
  </si>
  <si>
    <t>Remote priviliged capability is the same as on-prem</t>
  </si>
  <si>
    <t>Firewall rules; ACLs; VLANs, etc</t>
  </si>
  <si>
    <t>AC.L2-3.1.16</t>
  </si>
  <si>
    <t>Authorize wireless access prior to allowing such connections.</t>
  </si>
  <si>
    <t>[Wireless Access Points] SaaS controller dashboard for endpoints; mac filtering; guest network for visitors (out of scope) uses WPA2-personal</t>
  </si>
  <si>
    <t>Show the SaaS controller &amp; WLAN AP's</t>
  </si>
  <si>
    <t>AC.L2-3.1.17</t>
  </si>
  <si>
    <t>Protect wireless access using authentication and encryption.</t>
  </si>
  <si>
    <t xml:space="preserve">WPA2-enterprise with RADIUS is used for authentication to enterprise environment WLAN </t>
  </si>
  <si>
    <t>Screenshare [Wireless Access Points] and RADius configuration</t>
  </si>
  <si>
    <t>AC.L2-3.1.18</t>
  </si>
  <si>
    <t>Control connection of mobile devices.</t>
  </si>
  <si>
    <t xml:space="preserve">HW request for authorizing mobile device connection (laptop, phone, BYOD) - laptops authorized for employee-net by default and blocked from guest-net
</t>
  </si>
  <si>
    <t>Screenshare the [Wireless Access Point] SaaS controller for mac filtering and the logical segementation between employee-net and guest-net; show the logs in [Interal IT/MSSP] for all device types</t>
  </si>
  <si>
    <t>AC.L2-3.1.19</t>
  </si>
  <si>
    <t>Encrypt CUI on mobile devices and mobile computing platforms.</t>
  </si>
  <si>
    <t>Bitlocker on laptops; Intune configurations for iOS/iPad OS, macOS and Android</t>
  </si>
  <si>
    <t xml:space="preserve">Bitlocker key store in AD 
Intune configurations </t>
  </si>
  <si>
    <t>AC.L2-3.1.20</t>
  </si>
  <si>
    <t>Verify and control/limit connections to and use of external systems.</t>
  </si>
  <si>
    <t xml:space="preserve">Enterprise apps; SAML; Intune; GPOs for personal devices/VDI; firewall rules for external connections; review access to enterprise apps
</t>
  </si>
  <si>
    <t>Azure portal; enterprise apps; GPO configs for securing VDI from personal devices/IGEL; firewalls for allowing/preventing external connections on applications/SaaS platforms; Enterprise app reviews; Access control policies in M365</t>
  </si>
  <si>
    <t>*AC.L2-3.1.21</t>
  </si>
  <si>
    <t>Limit use of portable storage devices on external systems.</t>
  </si>
  <si>
    <t>USB blocked on all devices
IronKeys with encryption</t>
  </si>
  <si>
    <t>Screenshare a helpdesk ticket with an exception</t>
  </si>
  <si>
    <t>AC.L2-3.1.22</t>
  </si>
  <si>
    <t>Control information posted or processed on publicly accessible information systems.</t>
  </si>
  <si>
    <t>Comms</t>
  </si>
  <si>
    <t>Talk about the functional leads
Content Reviews
Incident reviews
Review all previous posts monthly
Approval process for posts
Who has access to post</t>
  </si>
  <si>
    <t>Social Media Review Screenshot
IR Plan
Communication Information Management Policy</t>
  </si>
  <si>
    <t>Screenshare the review process In the Comms tool
Content Review process</t>
  </si>
  <si>
    <t>Awareness &amp; Training
( AT )</t>
  </si>
  <si>
    <t>AT.L2-3.2.1</t>
  </si>
  <si>
    <t>Ensure that managers, systems administrators, and users of organizational systems are made aware of the security risks associated with their activities and of the applicable policies, standards, and procedures related to the security of those systems.</t>
  </si>
  <si>
    <t>HR</t>
  </si>
  <si>
    <t xml:space="preserve">Everyone takes CUI training (annually) 
New Hires must complete this within x-days
</t>
  </si>
  <si>
    <t>CUI Training Report
IT Security Training
Add: Insider Threat to Dashboard
Make sure all training slides are in the compliance portal</t>
  </si>
  <si>
    <t>*AT.L2-3.2.2</t>
  </si>
  <si>
    <t>Ensure that personnel are trained to carry out their assigned information security-related duties and responsibilities.</t>
  </si>
  <si>
    <t>IT Security</t>
  </si>
  <si>
    <t>Training staff - what are the IT security team members are trained on and what their roles are</t>
  </si>
  <si>
    <t>IT Security Responsibility Matrix
Move the certificates from the updates folder to this folder</t>
  </si>
  <si>
    <t>AT.L2-3.2.3</t>
  </si>
  <si>
    <t>Provide security awareness training on recognizing and
reporting potential indicators of insider threat.</t>
  </si>
  <si>
    <t>Insider Threat Training (DCSA) - completed annually
IT Security Training - completed annually</t>
  </si>
  <si>
    <t>Insider Threat Training 
Insider Threat Traiing Report
IT Security Training</t>
  </si>
  <si>
    <t>Audit &amp; Accountability
( AU )</t>
  </si>
  <si>
    <t>AU.L2-3.3.1</t>
  </si>
  <si>
    <t>Create and retain system audit logs and records to the extent needed to enable the monitoring, analysis, investigation, and reporting of unlawful or unauthorized system activity.</t>
  </si>
  <si>
    <t>Security/[Interal IT/MSSP]</t>
  </si>
  <si>
    <t>What audit logs are we ingesting?
Filters?  
Source types?
User Activitity &amp; traceability
Asset level
System Events &amp; Audit Records Policy
Retention Policy for audit logs (1 year)
Other logs that are being ingested other than the [Interal IT/MSSP] logs?</t>
  </si>
  <si>
    <t>[Interal IT/MSSP] SRM, Diagram, Optics Dashboard, Individuals with access
Retention period in policy</t>
  </si>
  <si>
    <t>Screenshare in [Interal IT/MSSP] (indices, source types, user activity, assets)
Show Log on type for deny sign in
Show a user's activity from yesterday and from 3 months ago.
Show a user sign in failure (from 3 months ago)</t>
  </si>
  <si>
    <t>AU.L2-3.3.2</t>
  </si>
  <si>
    <t>Ensure that the actions of individual system users can be uniquely traced to those users, so they can be held accountable for their actions.</t>
  </si>
  <si>
    <t>What are the parameters we use to trace users?  Location? User log outs?
Show how we know where the user is located (connected to  VPN network)
Do we allow mobile devices and can we trace that activity? How long do we keep the logs? *We said we are pushing them to [Interal IT/MSSP]</t>
  </si>
  <si>
    <t>[Interal IT/MSSP] Admin Audit log capture
Traceability in [Data Classification Engine] (audit logs)
User traceability to [COMPANY} managed laptop or virtual desktop in [RMM Tool]</t>
  </si>
  <si>
    <t>Example:  Failed login for user
Show a user from another location
Intune dashboard - show what we track for user activity</t>
  </si>
  <si>
    <t>*AU.L2-3.3.3</t>
  </si>
  <si>
    <t>Review and update logged events.</t>
  </si>
  <si>
    <t>When are we reviewing the logs?  
How often? Monthly meeting with [Interal IT/MSSP] to review the logs.</t>
  </si>
  <si>
    <t>Need proof that we meet monthly (calendar invites and meeting minutes)</t>
  </si>
  <si>
    <t>Screenshare of meeting invite
Need to provide meeting minutes
Show where event types are updated
Actions taken on these event types
Port security violation ticket</t>
  </si>
  <si>
    <t>*AU.L2-3.3.4</t>
  </si>
  <si>
    <t>Alert in the event of an audit logging process failure.</t>
  </si>
  <si>
    <t>Slack channel
Call lists
Tickets
Configuration of what [Interal IT/MSSP] would be alerting for in relation to criticality (not just a list - what log sources would cause them to let us know)</t>
  </si>
  <si>
    <t>Threat Escalation Contact Tree **Needs more definition**</t>
  </si>
  <si>
    <t>Shared the tickets for log sources missing
Provided/showed the call list</t>
  </si>
  <si>
    <t>AU.L2-3.3.5</t>
  </si>
  <si>
    <t>Correlate audit record review, analysis, and reporting processes for investigation and response to indications of unlawful, unauthorized, suspicious, or unusual activity.</t>
  </si>
  <si>
    <t>IR Plan</t>
  </si>
  <si>
    <t>IR Plan
Threat Detection alerts
Threat Detection Correlation via DW
MITRE ATT&amp;CK coverage via DW</t>
  </si>
  <si>
    <t xml:space="preserve">Showed the Dashboard and how logs are correlated and digested
</t>
  </si>
  <si>
    <t>*AU.L2-3.3.6</t>
  </si>
  <si>
    <t>Provide audit record reduction and report generation to support on-demand analysis and reporting.</t>
  </si>
  <si>
    <t>Pinpoint source types and given log information for a specific user, location or asset.
Reporting capabilities in the dashboard - 
What are we discussing in the monthly meetings with [Interal IT/MSSP]? Detection coverage/how inventory looks/maintenance discussions
We get monthly reports from [Interal IT/MSSP]</t>
  </si>
  <si>
    <t>Monthly Threat Hunt Report from [Interal IT/MSSP]</t>
  </si>
  <si>
    <t>Find an asset and user 
Show Monthly Threat Report (MITRE att&amp;ck)</t>
  </si>
  <si>
    <t>*AU.L2-3.3.7</t>
  </si>
  <si>
    <t>Provide a system capability that compares and synchronizes internal system clocks with an authoritative source to generate time stamps for audit records.</t>
  </si>
  <si>
    <t xml:space="preserve">How do we sync time? NTP server which syncs time from the </t>
  </si>
  <si>
    <t>Screencapture of Splunk setting 
Screencapture of vSphere client NTP setting
DW time sync
DC NTP config
HSV core NTP</t>
  </si>
  <si>
    <t xml:space="preserve">Show live demo in Splunk
Show the NTP sync
</t>
  </si>
  <si>
    <t>*AU.L2-3.3.8</t>
  </si>
  <si>
    <t>Protect audit information and audit logging tools from unauthorized access, modification, and deletion.</t>
  </si>
  <si>
    <t xml:space="preserve">IT personnel/[COMPANY} Security (physical access)/[Interal IT/MSSP] handling audit logs
Camera system and video storage (credentials stored in secret server)
Logs sent to the heavy forwarder to [Interal IT/MSSP] real-time
DW nor IT personnel cannot delete audit logs - there is no write access
Root access on heavy forwarder needed to access the logs, but they are sent real-time
Who has access to the camera logs?  We need to provide a list (includes CSI); Security Guards have view access to the cameras
CSI services the badge readers &amp; cameras, but does not have access; they are escorted by IT or Security for maintenance to these systems
Who has access to the badge logs?
How often are the groups audited?  At least annually.
Linux logs are also going to [Interal IT/MSSP]
</t>
  </si>
  <si>
    <t xml:space="preserve">DW O365 connector API permissions
Index Retention
[COMPANY} accounts w/HF access
HSVLFORWARD Access Restrictions
DW Portal access via Azure Enterprise app SAML SSO
</t>
  </si>
  <si>
    <t>Show the security group that has access to the badging server and the camera server</t>
  </si>
  <si>
    <t>We need to show that the administrator groups are audited annually</t>
  </si>
  <si>
    <t>*AU.L2-3.3.9</t>
  </si>
  <si>
    <t>Limit management of audit logging functionality to a subset of privileged users.</t>
  </si>
  <si>
    <t>Call list
List of users with access to DW
Server and workstation logs (IT_...._administrator groups)</t>
  </si>
  <si>
    <t xml:space="preserve">Show list of server administrators and [Interal IT/MSSP] SaaS platform administrators
Show list of who has access to [Interal IT/MSSP]
Show call list 
</t>
  </si>
  <si>
    <t>Configuration Management
( CM )</t>
  </si>
  <si>
    <t>CM.L2-3.4.1</t>
  </si>
  <si>
    <t>Establish and maintain baseline configurations and inventories of organizational systems (including hardware, software, firmware, and documentation) throughout the respective system development life cycles.</t>
  </si>
  <si>
    <t>OS/system/security baselines, Inventories, how often all is being reviewed</t>
  </si>
  <si>
    <t>System Baseline Policy, IST, Asset Inventory, COTS Matrix</t>
  </si>
  <si>
    <t>System Baseline Policy, IST, Asset Inventory, COTS Matrix
Notes to show annual/quarterly/monthly reviews (COTS Matrix review dates/firmware upgrades required), IST hardware asset inventory (handled at least annually via Asset Inventory)</t>
  </si>
  <si>
    <t>CM.L2-3.4.2</t>
  </si>
  <si>
    <t>Establish and enforce security configuration settings for information technology products employed in organizational systems.</t>
  </si>
  <si>
    <t>Baseline references for each system component and how they're enforced</t>
  </si>
  <si>
    <t xml:space="preserve">SBR components
</t>
  </si>
  <si>
    <t xml:space="preserve">SBR components - CIS Server 2019 GPO
[Storage] - D@RE (FIPS-validated) enabled
[Secure Print Solution] config on printers (TLSv1.2 for admin/user modes on printers) 
</t>
  </si>
  <si>
    <t>*CM.L2-3.4.3</t>
  </si>
  <si>
    <t>Track, review, approve or disapprove, and log changes to organizational systems.</t>
  </si>
  <si>
    <t>Change Mgmt &amp; CCB</t>
  </si>
  <si>
    <t xml:space="preserve">IT Cyber &amp; Network Security Policy - Change Management portion - Level I &amp; Level II
ITAC - Change Request[SharePoint]Submission Form &amp;[SharePoint]List
Example of Recent Changes and walkthrough from start to finish of a change
</t>
  </si>
  <si>
    <t>*CM.L2-3.4.4</t>
  </si>
  <si>
    <t>Analyze the security impact of changes prior to implementation.</t>
  </si>
  <si>
    <t>CCB Policy and Review Process
Who's on the CCB?</t>
  </si>
  <si>
    <t xml:space="preserve">CCB Policy &amp; CCB Minutes
</t>
  </si>
  <si>
    <t>CM.L2-3.4.5</t>
  </si>
  <si>
    <t>Define, document, approve, and enforce physical and logical access restrictions associated with changes to organizational systems.</t>
  </si>
  <si>
    <t>Enforce physical restrictions to any system changes (badge and key access but also physical restrictions when physical changes to internal systems are made - servers replaced, etc.)
Logical changes (ACLs, VLANs, ports, etc.) associated with CR/CCB (defined within)</t>
  </si>
  <si>
    <t xml:space="preserve">CR - Solidworks server CR, logical changes requested in ticket; physical access request in helpdesk ticketing system and example of physical change to facility (i.e., vendor, sub, etc. needing a badge or access to facility for a change). </t>
  </si>
  <si>
    <t>CM.L2-3.4.6</t>
  </si>
  <si>
    <t>Employ the principle of least functionality by configuring organizational systems to provide only essential capabilities.</t>
  </si>
  <si>
    <t>No user local admin on clients by default; SDLC for servers - no comingling of services on servers (each has their own function); Responsibility Matrix for how role delineation is managed</t>
  </si>
  <si>
    <t xml:space="preserve">Responsibility Matrix showing how even[Administrative Accounts]accounts are technically administrative accounts are only associated with the required capabilities for the role the user is performing </t>
  </si>
  <si>
    <t>CM.L2-3.4.7</t>
  </si>
  <si>
    <t>Restrict, disable, or prevent the use of nonessential programs, functions, ports, protocols, and services.</t>
  </si>
  <si>
    <t xml:space="preserve">Essential programs - application Reviews (bi-annually reviewed for each OS in the enterprise and approved by IT Ops Director)
Prevent nonessential applications/programs - can download, but scanned by Palo, SentinelOne, etc. Can be blocked outright before download (i.e., site by Palo)
Ports, protocols, and services - defined in private IT SharePoint site
Same methodology throughout - defined, reviewed, and allowed by exception; nonessentially prevented via technical means
</t>
  </si>
  <si>
    <t>Application reviews (bi-annual) for each OS
Defined ports, protocols, and services[SharePoint]document library</t>
  </si>
  <si>
    <t>CM.L2-3.4.8</t>
  </si>
  <si>
    <t>Apply deny-by-exception (blacklisting) policy to prevent the use of unauthorized software or deny-all, permit-by-exception (whitelisting) policy to allow the execution of authorized software.</t>
  </si>
  <si>
    <t>Approved application reviews
Unless previously approved, installed software must go through CR/CCB</t>
  </si>
  <si>
    <t>Approved application reviews (bi-annual)
Show example of software vetting by helpdesk ticket and/or CCB
Prepare to download and try to install basic applications to show where these are prevented</t>
  </si>
  <si>
    <t>*CM.L2-3.4.9</t>
  </si>
  <si>
    <t>Control and monitor user-installed software.</t>
  </si>
  <si>
    <t>Monitoring via [RMM Tool] (or SentinelOne) agent inventory
Log monitoring/event logging for application installation in SIEM/[Interal IT/MSSP]</t>
  </si>
  <si>
    <t>SentinelOne example showing attempted install, investigated, and prevented
Tickets to show where unapproved software installation was attempted and denied (Joe's PowerShell script attempt ticket with DW)</t>
  </si>
  <si>
    <t>Identification &amp; Authentication
( IA )</t>
  </si>
  <si>
    <t>IA.L2-3.5.1</t>
  </si>
  <si>
    <t xml:space="preserve">Identify information system users, processes acting on behalf of users, or devices.
</t>
  </si>
  <si>
    <t>Approved EUAP identifies new external accounts to be created
[HRIS]/[HR Process] task assigned to the helpdesk for new hires
Helpdesk ticket request for hardware
[Service and Administrator Account Naming Convention] accounts are created after an approved Helpdesk ticket</t>
  </si>
  <si>
    <t>Show an email with an approved EUAP
Show a [HRIS]/[HR Process] Task for a new hire
Show a hardware request ticket (approved w/in the last 3 months)
Show a [Service and Administrator Account Naming Convention] account helpdesk request</t>
  </si>
  <si>
    <t>IA.L2-3.5.2</t>
  </si>
  <si>
    <t>Authenticate (or verify) the identities of users, processes, or devices, as a prerequisite to allowing access to organizational systems.</t>
  </si>
  <si>
    <t>IA.L2-3.5.3</t>
  </si>
  <si>
    <t>Use multifactor authentication for local and network access to privileged accounts and for network access to non-privileged accounts.</t>
  </si>
  <si>
    <t>RSA configured for all accounts except service accounts</t>
  </si>
  <si>
    <t>*IA.L2-3.5.4</t>
  </si>
  <si>
    <t>Employ replay-resistant authentication mechanisms for network access to privileged and non-privileged accounts.</t>
  </si>
  <si>
    <t>*IA.L2-3.5.5</t>
  </si>
  <si>
    <t>Prevent reuse of identifiers for a defined period.</t>
  </si>
  <si>
    <t>Never re-used for users; laptops are named based on the asset number; VDI non-persistent desktops are re-used in coordination with their configuration</t>
  </si>
  <si>
    <t>*IA.L2-3.5.6</t>
  </si>
  <si>
    <t>Disable identifiers after a defined period of inactivity.</t>
  </si>
  <si>
    <t xml:space="preserve">After 30-days of no logins, user accounts are disabled. </t>
  </si>
  <si>
    <t>*IA.L2-3.5.7</t>
  </si>
  <si>
    <t>Enforce a minimum password complexity and change of characters when new passwords are created.</t>
  </si>
  <si>
    <t>GPO/Intune config</t>
  </si>
  <si>
    <t>*IA.L2-3.5.8</t>
  </si>
  <si>
    <t>Prohibit password reuse for a specified number of generations.</t>
  </si>
  <si>
    <t>*IA.L2-3.5.9</t>
  </si>
  <si>
    <t>Allow temporary password use for system logons with an immediate change to a permanent password.</t>
  </si>
  <si>
    <t>User must provide employee number and/or hire date prior to reset.  Temp password is communicated over the phone or via encrypted email.  User must reset upon next log in.</t>
  </si>
  <si>
    <t>Show a password reset (that the checkbox is selected for forcing a password reset)</t>
  </si>
  <si>
    <t>IA.L2-3.5.10</t>
  </si>
  <si>
    <t>Store and transmit only cryptographically-protected passwords.</t>
  </si>
  <si>
    <t>*IA.L2-3.5.11</t>
  </si>
  <si>
    <t>Obscure feedback of authentication information.</t>
  </si>
  <si>
    <t>Incident Response
( IR )</t>
  </si>
  <si>
    <t>IR.L2-3.6.1</t>
  </si>
  <si>
    <t>Establish an operational incident-handling capability for organizational systems that includes preparation, detection, analysis, containment, recovery, and user response activities.</t>
  </si>
  <si>
    <t>[Interal IT/Security]</t>
  </si>
  <si>
    <t>IR Plan/Process - High level, established in policy/procedure and then to specifics about how to walk through the incident handling capability
If a ticket generated by [Interal IT/MSSP] requires investigation, the IR team will assess and determine criticality of the ticket. May need to reach out to other groups and validate if nefarious or not. If not, close the ticket; if it is, bring all groups in, call it an incident, and alert necessary stakeholders 
Reporting requirements (72 hours of an incident)</t>
  </si>
  <si>
    <t>CIRT Functional Diagram flow and walkthrough of how an incident flow occurs in relationship to an incident
DIBNET/DC3 PKI cert login/auth</t>
  </si>
  <si>
    <t>IR.L2-3.6.2</t>
  </si>
  <si>
    <t>Track, document, and report incidents to designated officials and/or authorities both internal and external to the organization.</t>
  </si>
  <si>
    <t>See^^</t>
  </si>
  <si>
    <t>*IR.L2-3.6.3</t>
  </si>
  <si>
    <t>Test the organizational incident response capability.</t>
  </si>
  <si>
    <t>IR tabletop scope and frequency (quarterly)
Asked if Legal/PR would be brought in if necessary</t>
  </si>
  <si>
    <t xml:space="preserve">Q2 2025 IR Tabletop Exercise in OneNote for scenario and lessons learned (show associated DW ticket)
</t>
  </si>
  <si>
    <t>Maintenance
( MA )</t>
  </si>
  <si>
    <t>MA.L2-3.7.1</t>
  </si>
  <si>
    <t>Perform maintenance on organizational systems.</t>
  </si>
  <si>
    <t>IT/Security</t>
  </si>
  <si>
    <t xml:space="preserve">Routine maintenance across workstations, servers, applications, network applicances, printers, etc.
Change Requests
Maintenance Schedule for Printers (Printer Maintenance Company) - maintenance agreement (no accounts provided) - provide guidance only or physical issues only
Vendor Risk Assessment for 3rd parties
</t>
  </si>
  <si>
    <t xml:space="preserve">Approval of and administration of WSUS updates via GPO configurations for Windows (defined as automatically able to push, but able to use BatchPatch for system admin tooling to manually push)
RHEL uses Ansible
Intune configuration for updates
Vendor Risk Assessment Questionnaire
</t>
  </si>
  <si>
    <t>MA.L2-3.7.2</t>
  </si>
  <si>
    <t>Provide controls on the tools, techniques, mechanisms, and personnel used to conduct system maintenance.</t>
  </si>
  <si>
    <t>IT/Security
**</t>
  </si>
  <si>
    <t>Who's in charge of handling/pushing updates/performing system maintenance?
What applications/tools are used to handle this? 
Badge/camera system tuning (if applicable)?
Printer maintenance or 3rd party vendor coming in for maintenance? Not allowed to touch any [COMPANY}-IT-managed equipment in datacenter, escorted at all times and follow visitor procedure</t>
  </si>
  <si>
    <t xml:space="preserve">IT Cyber and Network Security Policy - Maintenance section - "Only specified [COMPANY} IT personnel, or contracted third-party vendors, only when absolutely necessary, are approved for maintenance of any [COMPANY}-managed IT system, [COMPANY}-IT-approved tools, within [COMPANY}’s datacenter or housed within a [COMPANY} facility. This includes maintenance of workstation, servers, applications, network appliances/equipment, printers, or thin clients. If other maintenance services are required, such as facilities maintenance, those designated personnel should always be escorted while in the facility by their [COMPANY} sponsor." 
"Non-local maintenance on [COMPANY} IT infrastructure from third parties is strictly prohibited. Non-local maintenance by IT personnel must use MFA, and it is restricted to only those IT personnel with the required group-based access and access to devices on specific network virtual local area networks (VLAN’s) via firewall rules and/or network-based ACL’s." </t>
  </si>
  <si>
    <t>*MA.L2-3.7.3</t>
  </si>
  <si>
    <t>Ensure equipment removed for off-site maintenance is sanitized of any CUI.</t>
  </si>
  <si>
    <t>Does any equipment leave the facility? If not, how is it controlled? 
Vendors only come onsite - we don't remove equipment for maintenance</t>
  </si>
  <si>
    <t>MA.L2-3.7.4</t>
  </si>
  <si>
    <t>Check media containing diagnostic and test programs for malicious code before the media are used in organizational systems.</t>
  </si>
  <si>
    <t>No third-party service or vendor may use unapproved media and/or applications on [COMPANY} IT-owned enterprise systems for diagnostic or maintenance purposes. 
Maintenance of this type will be performed by [COMPANY} IT personnel</t>
  </si>
  <si>
    <t>MA.L2-3.7.5</t>
  </si>
  <si>
    <t>Require multifactor authentication to establish nonlocal maintenance sessions via external network connections and terminate such connections when nonlocal maintenance is complete.</t>
  </si>
  <si>
    <t>Is non-local (remote) maintenance allowed? 
MFA required for this form of maintenance? All forms of access (on-prem or remote) require MFA
Terminated after specified amount of time?</t>
  </si>
  <si>
    <t>Inactivity for GlobalProtect/[VDI]</t>
  </si>
  <si>
    <t>*MA.L2-3.7.6</t>
  </si>
  <si>
    <t xml:space="preserve">Supervise the maintenance activities of personnel without required access authorization. </t>
  </si>
  <si>
    <t>No unauthorized access to any unvetted individuals or even some vetted individuals (i.e., cleaning crew has access to facility with visitor badges but cannot access secured areas)</t>
  </si>
  <si>
    <t>Media Protection
( MP )</t>
  </si>
  <si>
    <t>MP.L2-3.8.1</t>
  </si>
  <si>
    <t>Protect (i.e., physically control and securely store) system media containing CUI, both paper and digital.</t>
  </si>
  <si>
    <t>[Secure Print Solution] on multi-function printers (badge to get to print job) - CUI cover sheet needed - CUI asset marked with purple CUI stickers
CUI training, shred bins (locked and keys - managed and documented), NSA-approved shredders, 3rd-party NAID AAA certified for destruction</t>
  </si>
  <si>
    <t>CUI markings</t>
  </si>
  <si>
    <t xml:space="preserve">CUI stickers, assets, cover sheets, etc. </t>
  </si>
  <si>
    <t>MP.L2-3.8.2</t>
  </si>
  <si>
    <t>Limit access to CUI on system media to authorized users.</t>
  </si>
  <si>
    <t>Vetted users via AC and AU and restrict access</t>
  </si>
  <si>
    <t>MP.L2-3.8.3</t>
  </si>
  <si>
    <t>Sanitize or destroy information system media containing FCI before disposal or release for reuse.</t>
  </si>
  <si>
    <t xml:space="preserve">DoD-approved 7-pass wipe software - Active@ KillDisk and/or BitRaser Drive Eraser 
Sanitization of drives via procedure (e.g. Corporate Drive Sanitization Procedure)
Reissued only after successfully performed sanitization of a drive
</t>
  </si>
  <si>
    <t>NSA-approved shredder documentation
[Shredding Company] certificates of destruction for both physical assets and paper destruction (and associated CR)
Show Drive Sanitization Procedure
NSA-approved shredder type/purchase</t>
  </si>
  <si>
    <t>*MP.L2-3.8.4</t>
  </si>
  <si>
    <t>Mark media with necessary CUI markings and distribution limitations.</t>
  </si>
  <si>
    <t xml:space="preserve">CUI stickers, CUI cover sheets
Microsoft Purview/sensitivity labels
</t>
  </si>
  <si>
    <t>*MP.L2-3.8.5</t>
  </si>
  <si>
    <t>Control access to media containing CUI and maintain accountability for media during transport outside of controlled areas.</t>
  </si>
  <si>
    <t>No paper- or digital CUI is transported outside of controlled areas</t>
  </si>
  <si>
    <t>*MP.L2-3.8.6</t>
  </si>
  <si>
    <t>Implement cryptographic mechanisms to protect the confidentiality of CUI stored on digital media during transport unless otherwise protected by alternative physical safeguards.</t>
  </si>
  <si>
    <t>IronKeys</t>
  </si>
  <si>
    <t>MP.L2-3.8.7</t>
  </si>
  <si>
    <t>Control the use of removable media on system components.</t>
  </si>
  <si>
    <t xml:space="preserve">Don't allow to leave facilities for maintenance or transport
</t>
  </si>
  <si>
    <t>MP.L2-3.8.8</t>
  </si>
  <si>
    <t>Prohibit the use of portable storage devices when such devices have no identifiable owner.</t>
  </si>
  <si>
    <t xml:space="preserve">USB logically blocked for all devices unless an exception is in place in ((exception handling?) must be in place via HD ticket)
USB redirection on VDI blocked via GPO's/EC agents on endpoint?
Servers in datacenter behind MFA badge access
IT Security Awareness Training - used to train user to not pick up or attempt to use/plug in USB's with no identifiable owner </t>
  </si>
  <si>
    <t>*MP.L2-3.8.9</t>
  </si>
  <si>
    <t>Protect the confidentiality of backup CUI at storage locations.</t>
  </si>
  <si>
    <t xml:space="preserve">Backup locations - on-prem via [On-Prem Backup Platform] to [Storage] (both FIPS-validated modules
AWS GovCloud KMS to handle key management along with encryption of virtual tapes (via API) (both FIPS-validated)
[SaaS Backup Platform] uses AzureGov storage and [COMPANY} uses Azure Key Vault (FIPS-validated) Azure Key Vault
Microsoft uses FIPS-validated for all infrastructure services 
</t>
  </si>
  <si>
    <t>Personal Security
( PS )</t>
  </si>
  <si>
    <t>PS.L2-3.9.1</t>
  </si>
  <si>
    <t>Screen individuals prior to authorizing access to organizational systems containing CUI.</t>
  </si>
  <si>
    <t>All individuals who do not have a clearance must have a background check
External users must submit a letter from their employer that they have had a background check performed as part of the EUAP process</t>
  </si>
  <si>
    <t>HireRight Background check</t>
  </si>
  <si>
    <t>Security clearance for cleared personnel
HireRight Background check</t>
  </si>
  <si>
    <t>PS.L2-3.9.2</t>
  </si>
  <si>
    <t>Ensure that organizational systems containing CUI are protected during and after personnel actions such as terminations and transfers.</t>
  </si>
  <si>
    <t>HR &amp; IT Helpdesk</t>
  </si>
  <si>
    <t>Termination checklist
Transfer Email (end of pay period)
*Note that changes from corporate to direct charge are rare and vice versa
Transfers typically happen bi-monthly in coordianation with pay periods</t>
  </si>
  <si>
    <t>Transfer Email
Transfer Report
Outprocessing Checklist</t>
  </si>
  <si>
    <t>Be prepared to screenshare the emails and the outprocessing checklist workflow</t>
  </si>
  <si>
    <t>Physical Protection
( PE )</t>
  </si>
  <si>
    <t>PE.L2-3.10.1</t>
  </si>
  <si>
    <t>Limit physical access to organizational information systems, equipment, and the respective operating environments to authorized individuals.</t>
  </si>
  <si>
    <t>Security</t>
  </si>
  <si>
    <t>Secure locations in the building (such as the datacenter and IT closets) ; Be able to speak to all badge access locations in the facilities (Branch offices included)
Reviewing of the access logs - Be able to speak to how often this is done
Ticket Requests for access to badge access locations within the building
Provide chain of custody documentation for shred bins</t>
  </si>
  <si>
    <t>Screenshot of a Ticket for badge access
PDF doc showing a review of the building badge readers</t>
  </si>
  <si>
    <t>Be able to show a ticket that was submitted for access.
List of all badge readers in all facilities need a count of how many are at each facility
Show a report of where the badge access logs are reviewed annually</t>
  </si>
  <si>
    <t>PE.L2-3.10.2</t>
  </si>
  <si>
    <t>Protect and monitor the physical facility and support infrastructure for organizational systems.</t>
  </si>
  <si>
    <t>Discuss any/all physical security protections in place such as guard, man-trap, etc. (as applicable)
Speak to the secure locations in the building 
Cameras:  Where are they? Inside and/or outside (Need this information for all locations)
Badge access &amp; escort for visitors (Branch Offices, too)</t>
  </si>
  <si>
    <t>IT access log
Picture from the datacenter that is sent to Joe</t>
  </si>
  <si>
    <t>Be able to show cameras (if asked)
Be able to give a live demo of the badging system and show the access logs
Show IT closet/Datacenter access (live demo onsite)</t>
  </si>
  <si>
    <t>PE.L2-3.10.3</t>
  </si>
  <si>
    <t>Escort visitors and monitor visitor activity.</t>
  </si>
  <si>
    <t>Guard at the desk to sign in visitors, assign visitor badges, and make sure they have an escort
Cameras throughout the facility 
All external users must complete an EUAP for access (includes a memo from their HR confirming a background check or security clearance)</t>
  </si>
  <si>
    <t>Visitor Logs
EUAP for external users - show example</t>
  </si>
  <si>
    <t>PE.L2-3.10.4</t>
  </si>
  <si>
    <t>Maintain audit logs of physical access.</t>
  </si>
  <si>
    <t xml:space="preserve">Discuss the Key Log Tool - how requests are made and how keys are returned.  To include ALL locations.
Discuss how badge access is granted via an appproved physical access ticket to secure areas of the buidling
EUAP for visitors
</t>
  </si>
  <si>
    <t>Visitor Logs
Key logs (tracking system) - need evidence
Audits of both key logs and visitor logs</t>
  </si>
  <si>
    <t>Security Admin portal</t>
  </si>
  <si>
    <t>PE.L2-3.10.5</t>
  </si>
  <si>
    <t>Control and manage physical access devices.</t>
  </si>
  <si>
    <t>Be able to discuss (We know they'll have the maintenance agreement - but speak to it first): 
   Who has access to cameras? Security, Guards, and CIO. CSI only has access while completing maintenance and they are supervised during  their activities.  Any logical or application updates/maintenance access is performed by [COMPANY} IT.
   Who does the physical maintenance? CSI while being supervised.
   How often are they serviced?
Discuss where badges are created &amp; how</t>
  </si>
  <si>
    <t>Maintenance Logs and/or maintenance agreement</t>
  </si>
  <si>
    <t xml:space="preserve">Be able to show who has access to the cameras &amp; badging system
Be prepared to reference the Maintance agreement with CSI
</t>
  </si>
  <si>
    <t>*PE.L23.10.6</t>
  </si>
  <si>
    <t>Enforce safeguarding measures for CUI at alternate work sites.</t>
  </si>
  <si>
    <t>Are there cameras at the other sites?  Where? Who maintains?
Badge access at other sites? 
Are there keys at other sites?  Who maintains them?
Teleworking &amp; Telework policy (if applicable), IT Security Training, New Hire training</t>
  </si>
  <si>
    <t>Key log (Security Admin Portal) Screenshot
Visitor logs</t>
  </si>
  <si>
    <t xml:space="preserve">Be able to show cameras (if asked)
Be able to give a live demo of the badging system and show the access logs (if applicable)
</t>
  </si>
  <si>
    <t>Risk Assessment
( RA )</t>
  </si>
  <si>
    <t>RA.L2-3.11.1</t>
  </si>
  <si>
    <t>Periodically assess the risk to organizational operations (including mission, functions, image, or reputation), organizational assets, and individuals, resulting from the operation of organizational systems and the associated processing, storage, or transmission of CUI.</t>
  </si>
  <si>
    <t>Corporate or overarching business-level risk management policy, risk assessments performed (at least annually), CCB's/meeting minutes, eetc.</t>
  </si>
  <si>
    <t xml:space="preserve">Risk management assessments, methodology, etc., CCB's/meeting minutes
</t>
  </si>
  <si>
    <t>RA.L2-3.11.2</t>
  </si>
  <si>
    <t>Scan for vulnerabilities in organizational systems and applications periodically and when new vulnerabilities affecting those systems and applications are identified.</t>
  </si>
  <si>
    <t xml:space="preserve">Weekly scans, daily discovery scans in a platform (i.e., Tenable)
Anything associated with an asset is being scanned
Web app scanning
</t>
  </si>
  <si>
    <t xml:space="preserve">Weekly vulnerability scans (all assets)
Windows credentialed scans, continuous scans/discovery scans, ad-hoc scans to determine vulnerability status
Remediation scan performed after remediation steps performed to validate a vulnerability has been remediated.
</t>
  </si>
  <si>
    <t>*RA.L2-3.11.3</t>
  </si>
  <si>
    <t>Remediate vulnerabilities in accordance with risk assessments.</t>
  </si>
  <si>
    <t xml:space="preserve"> IT Security, Operations, and Networking vulnerabilities (data ingested in from Tenable) - timetables in conjunction with Vulnerability Mgmt policy
</t>
  </si>
  <si>
    <t>Show example of remediation scans after a vulnerability has been remediated within a given criticality timeframe</t>
  </si>
  <si>
    <t>Security Assessment
( CA )</t>
  </si>
  <si>
    <t>CA.L2-3.12.1</t>
  </si>
  <si>
    <t>Periodically assess the security controls in organizational systems to determine if the controls are effective in their application.</t>
  </si>
  <si>
    <t>NIST[SharePoint]800-171A annual review/mock assessment</t>
  </si>
  <si>
    <t>Self-assessment of 800-171 controls/mock assessment</t>
  </si>
  <si>
    <t>CA.L2-3.12.2</t>
  </si>
  <si>
    <t>Develop and implement plans of action designed to correct deficiencies and reduce or eliminate vulnerabilities in organizational systems.</t>
  </si>
  <si>
    <t>POA&amp;M in place</t>
  </si>
  <si>
    <t>Clean POA&amp;M (speak to Windows, iOS/iPadOS/macOS outstanding FIPS-validated certs not yet validated due to constant yearly/bi-annual updates and NIST CVMP timing)</t>
  </si>
  <si>
    <t>CA.L2-3.12.3</t>
  </si>
  <si>
    <t>Monitor security controls on an ongoing basis to ensure the continued effectiveness of the controls.</t>
  </si>
  <si>
    <t>However you're meeting/managing continuous monitoring of assessment objectives (i.e., Vanta, automatic evidence collection, etc.)</t>
  </si>
  <si>
    <t>Show example of where asking for evidence to support an objective</t>
  </si>
  <si>
    <t>CA.L2-3.12.4</t>
  </si>
  <si>
    <t>Develop, document, and periodically update system security plans that describe system boundaries, system environments of operation, how security requirements are implemented, and the relationships with or connections to other systems.</t>
  </si>
  <si>
    <t>SSP updated annually</t>
  </si>
  <si>
    <t>System &amp; Communications Protections
( SC )</t>
  </si>
  <si>
    <t>SC.L2-3.13.1</t>
  </si>
  <si>
    <t>Monitor, control, and protect organizational communications (i.e., information transmitted or received by organizational systems) at the external boundaries and key internal boundaries of organizational systems.</t>
  </si>
  <si>
    <t>/[Interal IT/Security]</t>
  </si>
  <si>
    <t>SC.L2-3.13.2</t>
  </si>
  <si>
    <t>Employ architectural designs, software development techniques, and systems engineering principles that promote effective information security within organizational systems.</t>
  </si>
  <si>
    <t xml:space="preserve">Where are CIS benchmarks?  
- Show the CIS baseline for Windows (Tenable report)
- CIS baseline for the architectural design
-Allow by exception firewall
-Defense in Depth (MFA at multiple levels, CA policies, etc.)
Software Development for hosted applications within our environment; not externally accessible.
We manage all of their infrastructure and it's it still all follows under the same access control group based access and and all all of their infrastructure is managed and secured within [COMPANY} IT's secure environments.
-What principles are used?  Is there a NIST standard, if any? CMMI Maturity Level 3 - Applications do not access CUI.  </t>
  </si>
  <si>
    <t>CMMI level- 3 certificate</t>
  </si>
  <si>
    <t>CIS Baseline for Windows 11</t>
  </si>
  <si>
    <t>*SC.L2-3.13.3</t>
  </si>
  <si>
    <t>Separate user functionality from system management functionality.</t>
  </si>
  <si>
    <t>Do you have a user ID with dedicated functions?
Do you have administrators?  Yes, shown regular accounts.</t>
  </si>
  <si>
    <t xml:space="preserve">Showed config of security groups
Showed a failure to access SentinelOne from a regular user account and an[Administrative Accounts]could not access Deltek. </t>
  </si>
  <si>
    <t>*SC.L2-3.13.4</t>
  </si>
  <si>
    <t>Prevent unauthorized and unintended information transfer via shared system resources.</t>
  </si>
  <si>
    <t>What shared resources do you have and be prepared to list? 
On prem file share cluster, M365, printers.
How are you preventing someone from unintentionally seeing someone else's data?  Group based access, [Secure Print Solution] (secure print), NTFS permissions, blocking external sharing, VLAN segmentation, Intune profiles for personal and/or corporate (owned) devices.  
Firewall rule that disables file sharing apps externally (dropbox, google drive)
Bock external sharing in M365 SharePoint/OneDrive
No B2B</t>
  </si>
  <si>
    <t>Show the VDI configuration that blocks copy/paste, drive redirection (Default VDI Policy).
Show [Secure Print Solution] configurations
Show Intune profile configs and how they prevent cross-cloud access (ie, iCloud - M365)
Show Firewall rule that disables file sharing apps</t>
  </si>
  <si>
    <t>Screenshot of Default VDI Policy added to evidence</t>
  </si>
  <si>
    <t>SC.L2-3.13.5</t>
  </si>
  <si>
    <t>Implement subnetworks for publicly accessible system components that are physically or logically separated from internal networks.</t>
  </si>
  <si>
    <t xml:space="preserve">What is visible to the public? How do we manage?
Palo Alto Global Protect client (VPN access)
VMware [VDI]
Deltek application mobile app (only from enrolled mobile device)
</t>
  </si>
  <si>
    <t>SC.L2-3.13.6</t>
  </si>
  <si>
    <t>Deny network communications traffic by default and allow network communications traffic by exception (i.e., deny all, permit by exception).</t>
  </si>
  <si>
    <t>*SC.L2-3.13.7</t>
  </si>
  <si>
    <t>Prevent remote devices from simultaneously establishing non-remote connections with organizational systems and communicating via some other connection to resources in external networks (i.e., split tunneling).</t>
  </si>
  <si>
    <t>We do not have split tunneling</t>
  </si>
  <si>
    <t>Show the configuration where this is off</t>
  </si>
  <si>
    <t>SC.L2-3.13.8</t>
  </si>
  <si>
    <t>Implement cryptographic mechanisms to prevent unauthorized disclosure of CUI during transmission unless otherwise protected by alternative physical safeguards.</t>
  </si>
  <si>
    <t xml:space="preserve">Encryption level settings
Key access (office door)
</t>
  </si>
  <si>
    <t>*SC.L2-3.13.9</t>
  </si>
  <si>
    <t>Terminate network connections associated with communications sessions at the end of the sessions or after a defined period of inactivity.</t>
  </si>
  <si>
    <t>VPN - 9 hrs
VDI - 10 hrs active; 2 hours inactive
Remote apps - 15 min inactivity
M365/Azure Gov - 12 hrs
RDP - 60 min idle timeout; 30 min previously disconnected session</t>
  </si>
  <si>
    <t>May need to show this config</t>
  </si>
  <si>
    <t>*SC.L2-3.13.10</t>
  </si>
  <si>
    <t>Establish and manage cryptographic keys for cryptography employed in organizational systems.</t>
  </si>
  <si>
    <t>Keys stored in secret server
[On-Prem Backup Platform], [SaaS Backup Platform], AWS and Dell Unity</t>
  </si>
  <si>
    <t>Screenshots provided</t>
  </si>
  <si>
    <t>Showed the keys in secret server
Screenshots from evidence</t>
  </si>
  <si>
    <t>*SC.L2-3.13.11</t>
  </si>
  <si>
    <t>Employ FIPS-validated cryptography when used to protect the confidentiality of CUI.</t>
  </si>
  <si>
    <t>Show Appendix D of SSP and show NIST CMVP cert from website</t>
  </si>
  <si>
    <t>*SC.L2-3.13.12</t>
  </si>
  <si>
    <t>Prohibit remote activation of collaborative computing devices and provide indication of devices in use to users present at the device.</t>
  </si>
  <si>
    <t>MTR units - red, white LED's on microphones, cameras and microphones are unable to be remotely activated</t>
  </si>
  <si>
    <t>Show lack of remote access capability via Teams Pro Management Portal/Microsoft Docs where it's prevented in GCC High</t>
  </si>
  <si>
    <t>*SC.L2-3.13.13</t>
  </si>
  <si>
    <t>Control and monitor the use of mobile code.</t>
  </si>
  <si>
    <t>SentinelOne Security Exclusion Catalog/Categories</t>
  </si>
  <si>
    <t>Show SentinelOne console where Security Exclusions are in place for mobile code types</t>
  </si>
  <si>
    <t>*SC.L2-3.13.14</t>
  </si>
  <si>
    <t>Control and monitor the use of Voice over Internet Protocol (VoIP) technologies.</t>
  </si>
  <si>
    <t>VoIP controlled via devices (including iOS/iPadOS devices using Teams [and associated with users who have DID's assigned]) enrolled and configured via Intune and restricted via M365 CA Policies
On-prem traffic for Teams Voice Phones is segmented to dedicated VLANs</t>
  </si>
  <si>
    <t xml:space="preserve">Teams Voice topology diagram
</t>
  </si>
  <si>
    <t>SC.L2-3.13.15</t>
  </si>
  <si>
    <t>Protect the authenticity of communications sessions.</t>
  </si>
  <si>
    <t xml:space="preserve">Encryption ciphers, MFA, network diagram, SSL certs (TLS 1.2+), etc.
</t>
  </si>
  <si>
    <t>*SC.L2-3.13.16</t>
  </si>
  <si>
    <t>Protect the confidentiality of CUI at rest.</t>
  </si>
  <si>
    <t>BitLocker on laptops, USB (IronKeys), D@RE for SAN, SaaS, etc.</t>
  </si>
  <si>
    <t>System &amp; Information Integrity
( SI )</t>
  </si>
  <si>
    <t>SI.L2-3.14.1</t>
  </si>
  <si>
    <t>Identify, report, and correct information and information system flaws in a timely manner.</t>
  </si>
  <si>
    <t>Weekly &amp; discovery scans to identify
Tenable's CVE scores used for vulnerabilities
Timeframes in Vuln Mgmt policy/program (critical, high, medium, low)</t>
  </si>
  <si>
    <t>SI.L2-3.14.2</t>
  </si>
  <si>
    <t>Provide protection from malicious code at appropriate locations within organizational information systems.</t>
  </si>
  <si>
    <t>Palo's, SentinelOne, M365</t>
  </si>
  <si>
    <t>SI.L2-3.14.3</t>
  </si>
  <si>
    <t>Monitor system security alerts and advisories and take action in response.</t>
  </si>
  <si>
    <t>IT Security receives/obtains Tenable's emerging threats (CVE/categories), Palo Alto, SentinelOne feeds, [Interal IT/MSSP] - monthly threat hunting intel briefing, newsletters, blogs, CISA reports, emails, etc.</t>
  </si>
  <si>
    <t>SI.L2-3.14.4</t>
  </si>
  <si>
    <t>Update malicious code protection mechanisms when new releases are available.</t>
  </si>
  <si>
    <t>Automated updates for SentinelOne
Upgrade policies for agents</t>
  </si>
  <si>
    <t>Show maintenanace window configuration settings for SentinelOne agent management and packages are pushed to our tenant from SentinelOne (agent upgrade policies and by platform)</t>
  </si>
  <si>
    <t>SI.L2-3.14.5</t>
  </si>
  <si>
    <t>Perform periodic scans of the information systems and real-time scans of files from external sources as files are downloaded, opened, or executed.</t>
  </si>
  <si>
    <t>Real-time scanning on endpoints and across M365
Downloaded files scanned for malicious files</t>
  </si>
  <si>
    <t>SentinelOne Protection Modes - set to Protect (Kill &amp; Quarantine), not Detect for Malicious and Suspicious Threats</t>
  </si>
  <si>
    <t>SI.L2-3.14.6</t>
  </si>
  <si>
    <t>Monitor organizational systems, including inbound and outbound communications traffic, to detect attacks and indicators of potential attacks.</t>
  </si>
  <si>
    <t>SentinelOne, [Data Classification Engine], Defender, CloudTrail, Entra ID/M365 platform logs, DW centralized analysis/correlation, traffic analysis, etc.</t>
  </si>
  <si>
    <t>SI.L2-3.14.7</t>
  </si>
  <si>
    <t>Identify unauthorized use of organizational systems.</t>
  </si>
  <si>
    <t>Unauthorized use - AUP</t>
  </si>
  <si>
    <t xml:space="preserve">Tracking how this is conveyed to users and signed off on by employees during onboarding
</t>
  </si>
  <si>
    <t>Practice Scoring Options</t>
  </si>
  <si>
    <t>Met</t>
  </si>
  <si>
    <t>Objective Evidence are evaluated and found to be adequate by the CCA and ATMs.  *One piece of evidence is required for Reciprocal Practices.</t>
  </si>
  <si>
    <t>Not Met</t>
  </si>
  <si>
    <t>Inherited</t>
  </si>
  <si>
    <t>Adequate Objective Evidence is provided by a MSP or 3rd party that performs the practice outside of the OSC</t>
  </si>
  <si>
    <t>N/A</t>
  </si>
  <si>
    <t>The practice does not apply for this assessment.</t>
  </si>
  <si>
    <t>Domain Scoring Options</t>
  </si>
  <si>
    <t>All Processes and Practices in the Domain received a score of "Pass," "Inherited," or "N/A"</t>
  </si>
  <si>
    <t>At least one process or practice in the Domain received a score of "Fail."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</si>
</sst>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0"/>
      <name val="Arial"/>
      <family val="2"/>
    </font>
    <font>
      <sz val="12"/>
      <color theme="1"/>
      <name val="Calibri Light"/>
      <family val="2"/>
    </font>
    <font>
      <b/>
      <sz val="14"/>
      <name val="Calibri Light"/>
      <family val="2"/>
    </font>
    <font>
      <b/>
      <sz val="12"/>
      <name val="Calibri Light"/>
      <family val="2"/>
    </font>
    <font>
      <b/>
      <sz val="14"/>
      <color theme="1"/>
      <name val="Calibri Light"/>
      <family val="2"/>
    </font>
    <font>
      <sz val="11"/>
      <color theme="1"/>
      <name val="Calibri Light"/>
      <family val="2"/>
    </font>
    <font>
      <sz val="14"/>
      <name val="Calibri Light"/>
      <family val="2"/>
    </font>
    <font>
      <sz val="14"/>
      <color theme="1"/>
      <name val="Calibri Light"/>
      <family val="2"/>
    </font>
    <font>
      <sz val="11"/>
      <color theme="0"/>
      <name val="Calibri Light"/>
      <family val="2"/>
    </font>
    <font>
      <b/>
      <sz val="12"/>
      <color theme="1"/>
      <name val="Calibri Light"/>
      <family val="2"/>
    </font>
    <font>
      <sz val="12"/>
      <color theme="1"/>
      <name val="Avenir Next LT Pro"/>
      <family val="2"/>
      <charset val="1"/>
    </font>
  </fonts>
  <fills count="10">
    <fill>
      <patternFill patternType="none"/>
    </fill>
    <fill>
      <patternFill patternType="gray125"/>
    </fill>
    <fill>
      <patternFill patternType="solid">
        <fgColor theme="0" tint="-4.9989318521683403E-2"/>
        <bgColor indexed="64"/>
      </patternFill>
    </fill>
    <fill>
      <patternFill patternType="solid">
        <fgColor rgb="FFFF0000"/>
        <bgColor indexed="64"/>
      </patternFill>
    </fill>
    <fill>
      <patternFill patternType="solid">
        <fgColor rgb="FF00B050"/>
        <bgColor indexed="64"/>
      </patternFill>
    </fill>
    <fill>
      <patternFill patternType="solid">
        <fgColor rgb="FF92D05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3" tint="0.59999389629810485"/>
        <bgColor indexed="64"/>
      </patternFill>
    </fill>
    <fill>
      <patternFill patternType="solid">
        <fgColor rgb="FFFFFF00"/>
        <bgColor indexed="64"/>
      </patternFill>
    </fill>
  </fills>
  <borders count="22">
    <border>
      <left/>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style="thin">
        <color theme="6"/>
      </left>
      <right style="thin">
        <color theme="6"/>
      </right>
      <top style="thin">
        <color theme="6"/>
      </top>
      <bottom style="thin">
        <color theme="6"/>
      </bottom>
      <diagonal/>
    </border>
    <border>
      <left style="thin">
        <color theme="6"/>
      </left>
      <right/>
      <top style="thin">
        <color theme="6"/>
      </top>
      <bottom style="thin">
        <color theme="6"/>
      </bottom>
      <diagonal/>
    </border>
    <border>
      <left style="thin">
        <color theme="6"/>
      </left>
      <right style="thin">
        <color theme="0"/>
      </right>
      <top style="thin">
        <color theme="6"/>
      </top>
      <bottom style="thin">
        <color theme="0"/>
      </bottom>
      <diagonal/>
    </border>
    <border>
      <left style="thin">
        <color theme="0"/>
      </left>
      <right style="thin">
        <color theme="6"/>
      </right>
      <top style="thin">
        <color theme="6"/>
      </top>
      <bottom style="thin">
        <color theme="0"/>
      </bottom>
      <diagonal/>
    </border>
    <border>
      <left style="thin">
        <color theme="6"/>
      </left>
      <right style="thin">
        <color theme="0"/>
      </right>
      <top style="thin">
        <color theme="0"/>
      </top>
      <bottom style="thin">
        <color theme="0"/>
      </bottom>
      <diagonal/>
    </border>
    <border>
      <left style="thin">
        <color theme="0"/>
      </left>
      <right style="thin">
        <color theme="6"/>
      </right>
      <top style="thin">
        <color theme="0"/>
      </top>
      <bottom style="thin">
        <color theme="0"/>
      </bottom>
      <diagonal/>
    </border>
    <border>
      <left style="thin">
        <color theme="2"/>
      </left>
      <right style="thin">
        <color theme="2"/>
      </right>
      <top style="thin">
        <color theme="2"/>
      </top>
      <bottom style="thin">
        <color theme="2"/>
      </bottom>
      <diagonal/>
    </border>
    <border>
      <left style="thin">
        <color theme="2"/>
      </left>
      <right style="thin">
        <color theme="2"/>
      </right>
      <top/>
      <bottom style="thin">
        <color theme="2"/>
      </bottom>
      <diagonal/>
    </border>
    <border>
      <left style="thin">
        <color theme="6"/>
      </left>
      <right style="thin">
        <color theme="0"/>
      </right>
      <top style="thin">
        <color theme="6"/>
      </top>
      <bottom style="thin">
        <color theme="6"/>
      </bottom>
      <diagonal/>
    </border>
    <border>
      <left style="thin">
        <color theme="6"/>
      </left>
      <right style="thin">
        <color theme="0"/>
      </right>
      <top style="thin">
        <color theme="0"/>
      </top>
      <bottom style="thin">
        <color theme="6"/>
      </bottom>
      <diagonal/>
    </border>
    <border>
      <left style="thin">
        <color theme="0"/>
      </left>
      <right style="thin">
        <color theme="6"/>
      </right>
      <top style="thin">
        <color theme="0"/>
      </top>
      <bottom style="thin">
        <color theme="6"/>
      </bottom>
      <diagonal/>
    </border>
    <border>
      <left style="thin">
        <color theme="6"/>
      </left>
      <right style="thin">
        <color theme="6"/>
      </right>
      <top style="thin">
        <color theme="6"/>
      </top>
      <bottom/>
      <diagonal/>
    </border>
    <border>
      <left style="thin">
        <color theme="6"/>
      </left>
      <right style="thin">
        <color theme="6"/>
      </right>
      <top/>
      <bottom/>
      <diagonal/>
    </border>
    <border>
      <left style="thin">
        <color theme="6"/>
      </left>
      <right style="thin">
        <color theme="6"/>
      </right>
      <top/>
      <bottom style="thin">
        <color theme="6"/>
      </bottom>
      <diagonal/>
    </border>
  </borders>
  <cellStyleXfs count="4">
    <xf numFmtId="0" fontId="0" fillId="0" borderId="0"/>
    <xf numFmtId="0" fontId="6" fillId="0" borderId="0"/>
    <xf numFmtId="0" fontId="6" fillId="0" borderId="0"/>
    <xf numFmtId="9" fontId="5" fillId="0" borderId="0"/>
  </cellStyleXfs>
  <cellXfs count="64">
    <xf numFmtId="0" fontId="0" fillId="0" borderId="0" xfId="0"/>
    <xf numFmtId="0" fontId="4" fillId="0" borderId="1" xfId="0" applyFont="1" applyBorder="1" applyAlignment="1">
      <alignment horizontal="left" vertical="center" indent="1"/>
    </xf>
    <xf numFmtId="0" fontId="9" fillId="2" borderId="8" xfId="0" applyFont="1" applyFill="1" applyBorder="1" applyAlignment="1" applyProtection="1">
      <alignment horizontal="center" vertical="center" wrapText="1"/>
      <protection locked="0"/>
    </xf>
    <xf numFmtId="0" fontId="11" fillId="0" borderId="14" xfId="0" applyFont="1" applyBorder="1" applyAlignment="1">
      <alignment wrapText="1"/>
    </xf>
    <xf numFmtId="0" fontId="12" fillId="0" borderId="8" xfId="0" applyFont="1" applyBorder="1" applyAlignment="1" applyProtection="1">
      <alignment horizontal="left" vertical="top" wrapText="1" indent="1"/>
      <protection locked="0"/>
    </xf>
    <xf numFmtId="0" fontId="11" fillId="0" borderId="15" xfId="0" applyFont="1" applyBorder="1" applyAlignment="1">
      <alignment horizontal="left" vertical="top" wrapText="1" indent="1"/>
    </xf>
    <xf numFmtId="0" fontId="11" fillId="0" borderId="14" xfId="0" applyFont="1" applyBorder="1" applyAlignment="1">
      <alignment horizontal="left" vertical="top" wrapText="1" indent="1"/>
    </xf>
    <xf numFmtId="0" fontId="10" fillId="0" borderId="15" xfId="0" applyFont="1" applyBorder="1" applyAlignment="1">
      <alignment wrapText="1"/>
    </xf>
    <xf numFmtId="0" fontId="15" fillId="0" borderId="15" xfId="0" applyFont="1" applyBorder="1" applyAlignment="1">
      <alignment wrapText="1"/>
    </xf>
    <xf numFmtId="0" fontId="10" fillId="0" borderId="14" xfId="0" applyFont="1" applyBorder="1" applyAlignment="1">
      <alignment wrapText="1"/>
    </xf>
    <xf numFmtId="0" fontId="15" fillId="0" borderId="14" xfId="0" applyFont="1" applyBorder="1" applyAlignment="1">
      <alignment wrapText="1"/>
    </xf>
    <xf numFmtId="0" fontId="16" fillId="8" borderId="8" xfId="0" applyFont="1" applyFill="1" applyBorder="1" applyAlignment="1">
      <alignment horizontal="center" vertical="center" wrapText="1"/>
    </xf>
    <xf numFmtId="0" fontId="3" fillId="0" borderId="14" xfId="0" applyFont="1" applyBorder="1" applyAlignment="1">
      <alignment horizontal="left" vertical="center" wrapText="1"/>
    </xf>
    <xf numFmtId="0" fontId="11" fillId="0" borderId="14" xfId="0" applyFont="1" applyBorder="1" applyAlignment="1">
      <alignment horizontal="left" vertical="top" wrapText="1"/>
    </xf>
    <xf numFmtId="0" fontId="0" fillId="0" borderId="0" xfId="0" applyAlignment="1">
      <alignment horizontal="left" vertical="top" wrapText="1"/>
    </xf>
    <xf numFmtId="0" fontId="2" fillId="9" borderId="14" xfId="0" applyFont="1" applyFill="1" applyBorder="1" applyAlignment="1">
      <alignment horizontal="center" vertical="center" wrapText="1"/>
    </xf>
    <xf numFmtId="0" fontId="11" fillId="0" borderId="14" xfId="0" applyFont="1" applyBorder="1" applyAlignment="1">
      <alignment horizontal="center" vertical="top" wrapText="1"/>
    </xf>
    <xf numFmtId="0" fontId="0" fillId="0" borderId="0" xfId="0" applyAlignment="1">
      <alignment vertical="top" wrapText="1"/>
    </xf>
    <xf numFmtId="0" fontId="0" fillId="9" borderId="0" xfId="0" applyFill="1" applyAlignment="1">
      <alignment vertical="top" wrapText="1"/>
    </xf>
    <xf numFmtId="0" fontId="16" fillId="8" borderId="8" xfId="0" applyFont="1" applyFill="1" applyBorder="1" applyAlignment="1">
      <alignment horizontal="center" vertical="top" wrapText="1"/>
    </xf>
    <xf numFmtId="0" fontId="16" fillId="8" borderId="19" xfId="0" applyFont="1" applyFill="1" applyBorder="1" applyAlignment="1">
      <alignment horizontal="center" vertical="top" wrapText="1"/>
    </xf>
    <xf numFmtId="0" fontId="7" fillId="0" borderId="15" xfId="0" applyFont="1" applyBorder="1" applyAlignment="1">
      <alignment vertical="top" wrapText="1"/>
    </xf>
    <xf numFmtId="0" fontId="13" fillId="0" borderId="15" xfId="0" applyFont="1" applyBorder="1" applyAlignment="1">
      <alignment vertical="top" wrapText="1"/>
    </xf>
    <xf numFmtId="0" fontId="14" fillId="0" borderId="15" xfId="0" applyFont="1" applyBorder="1" applyAlignment="1">
      <alignment horizontal="center" vertical="top" wrapText="1"/>
    </xf>
    <xf numFmtId="0" fontId="7" fillId="0" borderId="14" xfId="0" applyFont="1" applyBorder="1" applyAlignment="1">
      <alignment vertical="top" wrapText="1"/>
    </xf>
    <xf numFmtId="0" fontId="13" fillId="0" borderId="14" xfId="0" applyFont="1" applyBorder="1" applyAlignment="1">
      <alignment vertical="top" wrapText="1"/>
    </xf>
    <xf numFmtId="0" fontId="16" fillId="8" borderId="19" xfId="0" applyFont="1" applyFill="1" applyBorder="1" applyAlignment="1">
      <alignment horizontal="left" vertical="top" wrapText="1"/>
    </xf>
    <xf numFmtId="0" fontId="0" fillId="9" borderId="0" xfId="0" applyFill="1" applyAlignment="1">
      <alignment horizontal="left" vertical="top" wrapText="1"/>
    </xf>
    <xf numFmtId="0" fontId="2" fillId="0" borderId="1" xfId="0" applyFont="1" applyBorder="1" applyAlignment="1">
      <alignment horizontal="left" vertical="center" indent="1"/>
    </xf>
    <xf numFmtId="0" fontId="2" fillId="0" borderId="4" xfId="0" applyFont="1" applyBorder="1" applyAlignment="1">
      <alignment horizontal="left" vertical="center" indent="1"/>
    </xf>
    <xf numFmtId="0" fontId="2" fillId="0" borderId="2" xfId="0" applyFont="1" applyBorder="1" applyAlignment="1">
      <alignment horizontal="left" vertical="center" indent="1"/>
    </xf>
    <xf numFmtId="0" fontId="2" fillId="0" borderId="16" xfId="0" applyFont="1" applyBorder="1" applyAlignment="1">
      <alignment horizontal="left" vertical="center" wrapText="1" indent="1"/>
    </xf>
    <xf numFmtId="0" fontId="2" fillId="4" borderId="1" xfId="0" applyFont="1" applyFill="1" applyBorder="1" applyAlignment="1">
      <alignment horizontal="left" vertical="center" wrapText="1" indent="1"/>
    </xf>
    <xf numFmtId="0" fontId="2" fillId="4" borderId="11" xfId="0" applyFont="1" applyFill="1" applyBorder="1" applyAlignment="1">
      <alignment horizontal="left" vertical="center" wrapText="1" indent="1"/>
    </xf>
    <xf numFmtId="0" fontId="2" fillId="0" borderId="3" xfId="0" applyFont="1" applyBorder="1" applyAlignment="1">
      <alignment horizontal="left" vertical="center" indent="1"/>
    </xf>
    <xf numFmtId="0" fontId="2" fillId="0" borderId="6" xfId="0" applyFont="1" applyBorder="1" applyAlignment="1">
      <alignment horizontal="left" vertical="center" wrapText="1" indent="1"/>
    </xf>
    <xf numFmtId="0" fontId="2" fillId="3" borderId="12" xfId="0" applyFont="1" applyFill="1" applyBorder="1" applyAlignment="1">
      <alignment horizontal="left" vertical="center" wrapText="1" indent="1"/>
    </xf>
    <xf numFmtId="0" fontId="2" fillId="3" borderId="13" xfId="0" applyFont="1" applyFill="1" applyBorder="1" applyAlignment="1">
      <alignment horizontal="left" vertical="center" wrapText="1" indent="1"/>
    </xf>
    <xf numFmtId="0" fontId="2" fillId="0" borderId="2" xfId="0" applyFont="1" applyBorder="1" applyAlignment="1">
      <alignment horizontal="left" vertical="center" wrapText="1" indent="1"/>
    </xf>
    <xf numFmtId="0" fontId="2" fillId="5" borderId="12" xfId="0" applyFont="1" applyFill="1" applyBorder="1" applyAlignment="1">
      <alignment horizontal="left" vertical="center" wrapText="1" indent="1"/>
    </xf>
    <xf numFmtId="0" fontId="2" fillId="5" borderId="13" xfId="0" applyFont="1" applyFill="1" applyBorder="1" applyAlignment="1">
      <alignment horizontal="left" vertical="center" wrapText="1" indent="1"/>
    </xf>
    <xf numFmtId="0" fontId="2" fillId="6" borderId="17" xfId="0" applyFont="1" applyFill="1" applyBorder="1" applyAlignment="1">
      <alignment horizontal="left" vertical="center" wrapText="1" indent="1"/>
    </xf>
    <xf numFmtId="0" fontId="2" fillId="6" borderId="18" xfId="0" applyFont="1" applyFill="1" applyBorder="1" applyAlignment="1">
      <alignment horizontal="left" vertical="center" wrapText="1" indent="1"/>
    </xf>
    <xf numFmtId="0" fontId="2" fillId="0" borderId="7" xfId="0" applyFont="1" applyBorder="1" applyAlignment="1">
      <alignment horizontal="left" vertical="center" indent="1"/>
    </xf>
    <xf numFmtId="0" fontId="2" fillId="0" borderId="9" xfId="0" applyFont="1" applyBorder="1" applyAlignment="1">
      <alignment horizontal="left" vertical="center" indent="1"/>
    </xf>
    <xf numFmtId="0" fontId="2" fillId="4" borderId="10" xfId="0" applyFont="1" applyFill="1" applyBorder="1" applyAlignment="1">
      <alignment horizontal="left" vertical="center" indent="1"/>
    </xf>
    <xf numFmtId="0" fontId="2" fillId="4" borderId="11" xfId="0" applyFont="1" applyFill="1" applyBorder="1" applyAlignment="1">
      <alignment horizontal="left" vertical="center" indent="1"/>
    </xf>
    <xf numFmtId="0" fontId="2" fillId="0" borderId="6" xfId="0" applyFont="1" applyBorder="1" applyAlignment="1">
      <alignment horizontal="left" vertical="center" indent="1"/>
    </xf>
    <xf numFmtId="0" fontId="2" fillId="3" borderId="17" xfId="0" applyFont="1" applyFill="1" applyBorder="1" applyAlignment="1">
      <alignment horizontal="left" vertical="center" indent="1"/>
    </xf>
    <xf numFmtId="0" fontId="2" fillId="3" borderId="18" xfId="0" applyFont="1" applyFill="1" applyBorder="1" applyAlignment="1">
      <alignment horizontal="left" vertical="center" indent="1"/>
    </xf>
    <xf numFmtId="0" fontId="2" fillId="0" borderId="5" xfId="0" applyFont="1" applyBorder="1" applyAlignment="1">
      <alignment horizontal="left" vertical="center" indent="1"/>
    </xf>
    <xf numFmtId="0" fontId="1" fillId="0" borderId="0" xfId="0" applyFont="1" applyAlignment="1">
      <alignment horizontal="left" vertical="top" wrapText="1"/>
    </xf>
    <xf numFmtId="0" fontId="16" fillId="8" borderId="0" xfId="0" applyFont="1" applyFill="1" applyAlignment="1">
      <alignment horizontal="center" vertical="center" wrapText="1"/>
    </xf>
    <xf numFmtId="0" fontId="16" fillId="8" borderId="0" xfId="0" applyFont="1" applyFill="1" applyAlignment="1">
      <alignment horizontal="center" vertical="top" wrapText="1"/>
    </xf>
    <xf numFmtId="0" fontId="16" fillId="8" borderId="0" xfId="0" applyFont="1" applyFill="1" applyAlignment="1">
      <alignment horizontal="left" vertical="top" wrapText="1"/>
    </xf>
    <xf numFmtId="0" fontId="5" fillId="9" borderId="0" xfId="0" applyFont="1" applyFill="1" applyAlignment="1">
      <alignment horizontal="center" vertical="center" wrapText="1"/>
    </xf>
    <xf numFmtId="0" fontId="8" fillId="2" borderId="8" xfId="0" applyFont="1" applyFill="1" applyBorder="1" applyAlignment="1" applyProtection="1">
      <alignment horizontal="center" vertical="center" wrapText="1"/>
      <protection locked="0"/>
    </xf>
    <xf numFmtId="0" fontId="0" fillId="0" borderId="21" xfId="0" applyBorder="1" applyProtection="1">
      <protection locked="0"/>
    </xf>
    <xf numFmtId="0" fontId="10" fillId="7" borderId="8" xfId="0" applyFont="1" applyFill="1" applyBorder="1" applyAlignment="1">
      <alignment horizontal="center" vertical="center" wrapText="1"/>
    </xf>
    <xf numFmtId="0" fontId="0" fillId="0" borderId="20" xfId="0" applyBorder="1"/>
    <xf numFmtId="0" fontId="0" fillId="0" borderId="21" xfId="0" applyBorder="1"/>
    <xf numFmtId="0" fontId="0" fillId="0" borderId="20" xfId="0" applyBorder="1" applyProtection="1">
      <protection locked="0"/>
    </xf>
    <xf numFmtId="0" fontId="8" fillId="7" borderId="8" xfId="0" applyFont="1" applyFill="1" applyBorder="1" applyAlignment="1">
      <alignment horizontal="center" vertical="center" wrapText="1"/>
    </xf>
    <xf numFmtId="0" fontId="10" fillId="2" borderId="8" xfId="0" applyFont="1" applyFill="1" applyBorder="1" applyAlignment="1">
      <alignment horizontal="center" vertical="center" wrapText="1"/>
    </xf>
  </cellXfs>
  <cellStyles count="4">
    <cellStyle name="Normal" xfId="0" builtinId="0"/>
    <cellStyle name="Normal 2" xfId="1" xr:uid="{00000000-0005-0000-0000-000001000000}"/>
    <cellStyle name="Normal 3" xfId="2" xr:uid="{00000000-0005-0000-0000-000002000000}"/>
    <cellStyle name="Percent 2" xfId="3" xr:uid="{00000000-0005-0000-0000-000003000000}"/>
  </cellStyles>
  <dxfs count="12">
    <dxf>
      <fill>
        <patternFill>
          <bgColor rgb="FFFF0000"/>
        </patternFill>
      </fill>
    </dxf>
    <dxf>
      <fill>
        <patternFill>
          <bgColor rgb="FF00B050"/>
        </patternFill>
      </fill>
    </dxf>
    <dxf>
      <fill>
        <patternFill>
          <bgColor theme="7"/>
        </patternFill>
      </fill>
    </dxf>
    <dxf>
      <fill>
        <patternFill>
          <bgColor rgb="FF92D050"/>
        </patternFill>
      </fill>
    </dxf>
    <dxf>
      <fill>
        <patternFill>
          <bgColor rgb="FFFF0000"/>
        </patternFill>
      </fill>
    </dxf>
    <dxf>
      <fill>
        <patternFill>
          <bgColor rgb="FF00B050"/>
        </patternFill>
      </fill>
    </dxf>
    <dxf>
      <fill>
        <patternFill>
          <bgColor theme="7"/>
        </patternFill>
      </fill>
    </dxf>
    <dxf>
      <fill>
        <patternFill>
          <bgColor rgb="FF92D050"/>
        </patternFill>
      </fill>
    </dxf>
    <dxf>
      <fill>
        <patternFill>
          <bgColor rgb="FFFF0000"/>
        </patternFill>
      </fill>
    </dxf>
    <dxf>
      <fill>
        <patternFill>
          <bgColor rgb="FF00B050"/>
        </patternFill>
      </fill>
    </dxf>
    <dxf>
      <fill>
        <patternFill>
          <bgColor theme="7"/>
        </patternFill>
      </fill>
    </dxf>
    <dxf>
      <fill>
        <patternFill>
          <bgColor rgb="FF92D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2"/>
  <sheetViews>
    <sheetView tabSelected="1" topLeftCell="B1" zoomScale="130" zoomScaleNormal="130" workbookViewId="0">
      <pane ySplit="1" topLeftCell="A73" activePane="bottomLeft" state="frozen"/>
      <selection pane="bottomLeft" activeCell="G18" sqref="G18"/>
    </sheetView>
  </sheetViews>
  <sheetFormatPr baseColWidth="10" defaultColWidth="30.33203125" defaultRowHeight="19" x14ac:dyDescent="0.25"/>
  <cols>
    <col min="1" max="1" width="30.33203125" style="9" customWidth="1"/>
    <col min="2" max="2" width="30.33203125" style="10" customWidth="1"/>
    <col min="3" max="3" width="51" style="6" customWidth="1"/>
    <col min="4" max="4" width="30.33203125" style="24" customWidth="1"/>
    <col min="5" max="5" width="49.5" style="25" customWidth="1"/>
    <col min="6" max="6" width="44.5" style="16" hidden="1" customWidth="1"/>
    <col min="7" max="7" width="47.33203125" style="13" customWidth="1"/>
    <col min="8" max="8" width="30.33203125" style="16" customWidth="1"/>
    <col min="9" max="9" width="30.33203125" style="3" customWidth="1"/>
    <col min="10" max="16384" width="30.33203125" style="3"/>
  </cols>
  <sheetData>
    <row r="1" spans="1:9" s="12" customFormat="1" ht="15" customHeight="1" x14ac:dyDescent="0.2">
      <c r="A1" s="11" t="s">
        <v>0</v>
      </c>
      <c r="B1" s="11" t="s">
        <v>1</v>
      </c>
      <c r="C1" s="11" t="s">
        <v>2</v>
      </c>
      <c r="D1" s="19" t="s">
        <v>3</v>
      </c>
      <c r="E1" s="19" t="s">
        <v>4</v>
      </c>
      <c r="F1" s="20" t="s">
        <v>5</v>
      </c>
      <c r="G1" s="26" t="s">
        <v>6</v>
      </c>
      <c r="H1" s="20" t="s">
        <v>7</v>
      </c>
      <c r="I1" s="15" t="s">
        <v>8</v>
      </c>
    </row>
    <row r="2" spans="1:9" ht="96" customHeight="1" x14ac:dyDescent="0.2">
      <c r="A2" s="62" t="s">
        <v>9</v>
      </c>
      <c r="B2" s="2" t="s">
        <v>10</v>
      </c>
      <c r="C2" s="4" t="s">
        <v>11</v>
      </c>
      <c r="D2" s="17" t="s">
        <v>12</v>
      </c>
      <c r="E2" s="17" t="s">
        <v>13</v>
      </c>
      <c r="F2" s="17"/>
      <c r="G2" s="13" t="s">
        <v>14</v>
      </c>
    </row>
    <row r="3" spans="1:9" ht="60" customHeight="1" x14ac:dyDescent="0.2">
      <c r="A3" s="59"/>
      <c r="B3" s="2" t="s">
        <v>15</v>
      </c>
      <c r="C3" s="4" t="s">
        <v>16</v>
      </c>
      <c r="D3" s="17" t="s">
        <v>12</v>
      </c>
      <c r="E3" s="17" t="s">
        <v>17</v>
      </c>
      <c r="F3" s="17"/>
      <c r="G3" s="13" t="s">
        <v>18</v>
      </c>
    </row>
    <row r="4" spans="1:9" ht="40" customHeight="1" x14ac:dyDescent="0.2">
      <c r="A4" s="59"/>
      <c r="B4" s="2" t="s">
        <v>19</v>
      </c>
      <c r="C4" s="4" t="s">
        <v>20</v>
      </c>
      <c r="D4" s="17" t="s">
        <v>12</v>
      </c>
      <c r="E4" s="17"/>
      <c r="F4" s="17"/>
    </row>
    <row r="5" spans="1:9" ht="64" customHeight="1" x14ac:dyDescent="0.2">
      <c r="A5" s="59"/>
      <c r="B5" s="2" t="s">
        <v>21</v>
      </c>
      <c r="C5" s="4" t="s">
        <v>22</v>
      </c>
      <c r="D5" s="17" t="s">
        <v>12</v>
      </c>
      <c r="E5" s="17" t="s">
        <v>23</v>
      </c>
      <c r="F5" s="17"/>
      <c r="G5" s="13" t="s">
        <v>24</v>
      </c>
    </row>
    <row r="6" spans="1:9" ht="40" customHeight="1" x14ac:dyDescent="0.2">
      <c r="A6" s="59"/>
      <c r="B6" s="2" t="s">
        <v>25</v>
      </c>
      <c r="C6" s="4" t="s">
        <v>26</v>
      </c>
      <c r="D6" s="17" t="s">
        <v>12</v>
      </c>
      <c r="E6" s="17"/>
      <c r="F6" s="17"/>
      <c r="G6" s="13" t="s">
        <v>27</v>
      </c>
    </row>
    <row r="7" spans="1:9" ht="40" customHeight="1" x14ac:dyDescent="0.2">
      <c r="A7" s="59"/>
      <c r="B7" s="2" t="s">
        <v>28</v>
      </c>
      <c r="C7" s="4" t="s">
        <v>29</v>
      </c>
      <c r="D7" s="17" t="s">
        <v>12</v>
      </c>
      <c r="E7" s="17" t="s">
        <v>30</v>
      </c>
      <c r="F7" s="17"/>
      <c r="G7" s="13" t="s">
        <v>27</v>
      </c>
    </row>
    <row r="8" spans="1:9" ht="60" customHeight="1" x14ac:dyDescent="0.2">
      <c r="A8" s="59"/>
      <c r="B8" s="2" t="s">
        <v>31</v>
      </c>
      <c r="C8" s="4" t="s">
        <v>32</v>
      </c>
      <c r="D8" s="17" t="s">
        <v>12</v>
      </c>
      <c r="E8" s="17" t="s">
        <v>33</v>
      </c>
      <c r="F8" s="17"/>
      <c r="G8" s="13" t="s">
        <v>34</v>
      </c>
    </row>
    <row r="9" spans="1:9" ht="64" customHeight="1" x14ac:dyDescent="0.2">
      <c r="A9" s="59"/>
      <c r="B9" s="2" t="s">
        <v>35</v>
      </c>
      <c r="C9" s="4" t="s">
        <v>36</v>
      </c>
      <c r="D9" s="17" t="s">
        <v>12</v>
      </c>
      <c r="E9" s="17" t="s">
        <v>37</v>
      </c>
      <c r="F9" s="17"/>
      <c r="G9" s="13" t="s">
        <v>38</v>
      </c>
    </row>
    <row r="10" spans="1:9" ht="48" customHeight="1" x14ac:dyDescent="0.2">
      <c r="A10" s="59"/>
      <c r="B10" s="2" t="s">
        <v>39</v>
      </c>
      <c r="C10" s="4" t="s">
        <v>40</v>
      </c>
      <c r="D10" s="17" t="s">
        <v>12</v>
      </c>
      <c r="E10" s="17" t="s">
        <v>41</v>
      </c>
      <c r="F10" s="17"/>
      <c r="G10" s="13" t="s">
        <v>42</v>
      </c>
    </row>
    <row r="11" spans="1:9" ht="60" customHeight="1" x14ac:dyDescent="0.2">
      <c r="A11" s="59"/>
      <c r="B11" s="2" t="s">
        <v>43</v>
      </c>
      <c r="C11" s="4" t="s">
        <v>44</v>
      </c>
      <c r="D11" s="17" t="s">
        <v>12</v>
      </c>
      <c r="E11" s="17" t="s">
        <v>45</v>
      </c>
      <c r="F11" s="17"/>
      <c r="G11" s="13" t="s">
        <v>46</v>
      </c>
    </row>
    <row r="12" spans="1:9" ht="40" customHeight="1" x14ac:dyDescent="0.2">
      <c r="A12" s="59"/>
      <c r="B12" s="2" t="s">
        <v>47</v>
      </c>
      <c r="C12" s="4" t="s">
        <v>48</v>
      </c>
      <c r="D12" s="17" t="s">
        <v>12</v>
      </c>
      <c r="E12" s="17" t="s">
        <v>49</v>
      </c>
      <c r="F12" s="17"/>
      <c r="G12" s="13" t="s">
        <v>50</v>
      </c>
    </row>
    <row r="13" spans="1:9" ht="112" customHeight="1" x14ac:dyDescent="0.2">
      <c r="A13" s="59"/>
      <c r="B13" s="2" t="s">
        <v>51</v>
      </c>
      <c r="C13" s="4" t="s">
        <v>52</v>
      </c>
      <c r="D13" s="17" t="s">
        <v>12</v>
      </c>
      <c r="E13" s="17" t="s">
        <v>53</v>
      </c>
      <c r="F13" s="17"/>
      <c r="G13" s="13" t="s">
        <v>54</v>
      </c>
    </row>
    <row r="14" spans="1:9" ht="128" customHeight="1" x14ac:dyDescent="0.2">
      <c r="A14" s="59"/>
      <c r="B14" s="2" t="s">
        <v>55</v>
      </c>
      <c r="C14" s="4" t="s">
        <v>56</v>
      </c>
      <c r="D14" s="17" t="s">
        <v>12</v>
      </c>
      <c r="E14" s="17" t="s">
        <v>57</v>
      </c>
      <c r="F14" s="17"/>
      <c r="G14" s="13" t="s">
        <v>58</v>
      </c>
    </row>
    <row r="15" spans="1:9" ht="40" customHeight="1" x14ac:dyDescent="0.2">
      <c r="A15" s="59"/>
      <c r="B15" s="2" t="s">
        <v>59</v>
      </c>
      <c r="C15" s="4" t="s">
        <v>60</v>
      </c>
      <c r="D15" s="17" t="s">
        <v>12</v>
      </c>
      <c r="E15" s="17" t="s">
        <v>61</v>
      </c>
      <c r="F15" s="17"/>
      <c r="G15" s="13" t="s">
        <v>62</v>
      </c>
    </row>
    <row r="16" spans="1:9" ht="60" customHeight="1" x14ac:dyDescent="0.2">
      <c r="A16" s="59"/>
      <c r="B16" s="2" t="s">
        <v>63</v>
      </c>
      <c r="C16" s="4" t="s">
        <v>64</v>
      </c>
      <c r="D16" s="17" t="s">
        <v>12</v>
      </c>
      <c r="E16" s="17" t="s">
        <v>65</v>
      </c>
      <c r="F16" s="17"/>
      <c r="G16" s="13" t="s">
        <v>66</v>
      </c>
    </row>
    <row r="17" spans="1:7" ht="48" customHeight="1" x14ac:dyDescent="0.2">
      <c r="A17" s="59"/>
      <c r="B17" s="2" t="s">
        <v>67</v>
      </c>
      <c r="C17" s="4" t="s">
        <v>68</v>
      </c>
      <c r="D17" s="17" t="s">
        <v>12</v>
      </c>
      <c r="E17" s="17" t="s">
        <v>69</v>
      </c>
      <c r="F17" s="17"/>
      <c r="G17" s="13" t="s">
        <v>70</v>
      </c>
    </row>
    <row r="18" spans="1:7" ht="40" customHeight="1" x14ac:dyDescent="0.2">
      <c r="A18" s="59"/>
      <c r="B18" s="2" t="s">
        <v>71</v>
      </c>
      <c r="C18" s="4" t="s">
        <v>72</v>
      </c>
      <c r="D18" s="17" t="s">
        <v>12</v>
      </c>
      <c r="E18" s="17" t="s">
        <v>73</v>
      </c>
      <c r="F18" s="17"/>
      <c r="G18" s="13" t="s">
        <v>74</v>
      </c>
    </row>
    <row r="19" spans="1:7" ht="80" customHeight="1" x14ac:dyDescent="0.2">
      <c r="A19" s="59"/>
      <c r="B19" s="2" t="s">
        <v>75</v>
      </c>
      <c r="C19" s="4" t="s">
        <v>76</v>
      </c>
      <c r="D19" s="17" t="s">
        <v>12</v>
      </c>
      <c r="E19" s="17" t="s">
        <v>77</v>
      </c>
      <c r="F19" s="17"/>
      <c r="G19" s="13" t="s">
        <v>78</v>
      </c>
    </row>
    <row r="20" spans="1:7" ht="40" customHeight="1" x14ac:dyDescent="0.2">
      <c r="A20" s="59"/>
      <c r="B20" s="2" t="s">
        <v>79</v>
      </c>
      <c r="C20" s="4" t="s">
        <v>80</v>
      </c>
      <c r="D20" s="17" t="s">
        <v>12</v>
      </c>
      <c r="E20" s="17" t="s">
        <v>81</v>
      </c>
      <c r="F20" s="17"/>
      <c r="G20" s="13" t="s">
        <v>82</v>
      </c>
    </row>
    <row r="21" spans="1:7" ht="64" customHeight="1" x14ac:dyDescent="0.2">
      <c r="A21" s="59"/>
      <c r="B21" s="2" t="s">
        <v>83</v>
      </c>
      <c r="C21" s="4" t="s">
        <v>84</v>
      </c>
      <c r="D21" s="17" t="s">
        <v>12</v>
      </c>
      <c r="E21" s="17" t="s">
        <v>85</v>
      </c>
      <c r="F21" s="17"/>
      <c r="G21" s="13" t="s">
        <v>86</v>
      </c>
    </row>
    <row r="22" spans="1:7" ht="40" customHeight="1" x14ac:dyDescent="0.2">
      <c r="A22" s="59"/>
      <c r="B22" s="2" t="s">
        <v>87</v>
      </c>
      <c r="C22" s="4" t="s">
        <v>88</v>
      </c>
      <c r="D22" s="17" t="s">
        <v>12</v>
      </c>
      <c r="E22" s="17" t="s">
        <v>89</v>
      </c>
      <c r="F22" s="17"/>
      <c r="G22" s="13" t="s">
        <v>90</v>
      </c>
    </row>
    <row r="23" spans="1:7" ht="96" customHeight="1" x14ac:dyDescent="0.2">
      <c r="A23" s="60"/>
      <c r="B23" s="2" t="s">
        <v>91</v>
      </c>
      <c r="C23" s="4" t="s">
        <v>92</v>
      </c>
      <c r="D23" s="17" t="s">
        <v>93</v>
      </c>
      <c r="E23" s="17" t="s">
        <v>94</v>
      </c>
      <c r="F23" s="17" t="s">
        <v>95</v>
      </c>
      <c r="G23" s="13" t="s">
        <v>96</v>
      </c>
    </row>
    <row r="24" spans="1:7" ht="120" customHeight="1" x14ac:dyDescent="0.2">
      <c r="A24" s="56" t="s">
        <v>97</v>
      </c>
      <c r="B24" s="2" t="s">
        <v>98</v>
      </c>
      <c r="C24" s="4" t="s">
        <v>99</v>
      </c>
      <c r="D24" s="17" t="s">
        <v>100</v>
      </c>
      <c r="E24" s="17" t="s">
        <v>101</v>
      </c>
      <c r="F24" s="18" t="s">
        <v>102</v>
      </c>
    </row>
    <row r="25" spans="1:7" ht="60" customHeight="1" x14ac:dyDescent="0.2">
      <c r="A25" s="61"/>
      <c r="B25" s="2" t="s">
        <v>103</v>
      </c>
      <c r="C25" s="4" t="s">
        <v>104</v>
      </c>
      <c r="D25" s="17" t="s">
        <v>105</v>
      </c>
      <c r="E25" s="17" t="s">
        <v>106</v>
      </c>
      <c r="F25" s="18" t="s">
        <v>107</v>
      </c>
    </row>
    <row r="26" spans="1:7" ht="60" customHeight="1" x14ac:dyDescent="0.2">
      <c r="A26" s="57"/>
      <c r="B26" s="2" t="s">
        <v>108</v>
      </c>
      <c r="C26" s="4" t="s">
        <v>109</v>
      </c>
      <c r="D26" s="17" t="s">
        <v>100</v>
      </c>
      <c r="E26" s="17" t="s">
        <v>110</v>
      </c>
      <c r="F26" s="18" t="s">
        <v>111</v>
      </c>
    </row>
    <row r="27" spans="1:7" ht="144" customHeight="1" x14ac:dyDescent="0.2">
      <c r="A27" s="56" t="s">
        <v>112</v>
      </c>
      <c r="B27" s="2" t="s">
        <v>113</v>
      </c>
      <c r="C27" s="4" t="s">
        <v>114</v>
      </c>
      <c r="D27" s="14" t="s">
        <v>115</v>
      </c>
      <c r="E27" s="14" t="s">
        <v>116</v>
      </c>
      <c r="F27" s="14" t="s">
        <v>117</v>
      </c>
      <c r="G27" s="13" t="s">
        <v>118</v>
      </c>
    </row>
    <row r="28" spans="1:7" ht="112" customHeight="1" x14ac:dyDescent="0.2">
      <c r="A28" s="61"/>
      <c r="B28" s="2" t="s">
        <v>119</v>
      </c>
      <c r="C28" s="4" t="s">
        <v>120</v>
      </c>
      <c r="D28" s="14" t="s">
        <v>115</v>
      </c>
      <c r="E28" s="14" t="s">
        <v>121</v>
      </c>
      <c r="F28" s="14" t="s">
        <v>122</v>
      </c>
      <c r="G28" s="13" t="s">
        <v>123</v>
      </c>
    </row>
    <row r="29" spans="1:7" ht="80" customHeight="1" x14ac:dyDescent="0.2">
      <c r="A29" s="61"/>
      <c r="B29" s="2" t="s">
        <v>124</v>
      </c>
      <c r="C29" s="4" t="s">
        <v>125</v>
      </c>
      <c r="D29" s="14" t="s">
        <v>115</v>
      </c>
      <c r="E29" s="14" t="s">
        <v>126</v>
      </c>
      <c r="F29" s="27" t="s">
        <v>127</v>
      </c>
      <c r="G29" s="13" t="s">
        <v>128</v>
      </c>
    </row>
    <row r="30" spans="1:7" ht="96" customHeight="1" x14ac:dyDescent="0.2">
      <c r="A30" s="61"/>
      <c r="B30" s="2" t="s">
        <v>129</v>
      </c>
      <c r="C30" s="4" t="s">
        <v>130</v>
      </c>
      <c r="D30" s="14" t="s">
        <v>115</v>
      </c>
      <c r="E30" s="14" t="s">
        <v>131</v>
      </c>
      <c r="F30" s="27" t="s">
        <v>132</v>
      </c>
      <c r="G30" s="13" t="s">
        <v>133</v>
      </c>
    </row>
    <row r="31" spans="1:7" ht="80" customHeight="1" x14ac:dyDescent="0.2">
      <c r="A31" s="61"/>
      <c r="B31" s="2" t="s">
        <v>134</v>
      </c>
      <c r="C31" s="4" t="s">
        <v>135</v>
      </c>
      <c r="D31" s="14" t="s">
        <v>115</v>
      </c>
      <c r="E31" s="14" t="s">
        <v>136</v>
      </c>
      <c r="F31" s="14" t="s">
        <v>137</v>
      </c>
      <c r="G31" s="13" t="s">
        <v>138</v>
      </c>
    </row>
    <row r="32" spans="1:7" ht="112" customHeight="1" x14ac:dyDescent="0.2">
      <c r="A32" s="61"/>
      <c r="B32" s="2" t="s">
        <v>139</v>
      </c>
      <c r="C32" s="4" t="s">
        <v>140</v>
      </c>
      <c r="D32" s="14" t="s">
        <v>115</v>
      </c>
      <c r="E32" s="14" t="s">
        <v>141</v>
      </c>
      <c r="F32" s="14" t="s">
        <v>142</v>
      </c>
      <c r="G32" s="13" t="s">
        <v>143</v>
      </c>
    </row>
    <row r="33" spans="1:8" ht="80" customHeight="1" x14ac:dyDescent="0.2">
      <c r="A33" s="61"/>
      <c r="B33" s="2" t="s">
        <v>144</v>
      </c>
      <c r="C33" s="4" t="s">
        <v>145</v>
      </c>
      <c r="D33" s="14" t="s">
        <v>115</v>
      </c>
      <c r="E33" s="14" t="s">
        <v>146</v>
      </c>
      <c r="F33" s="14" t="s">
        <v>147</v>
      </c>
      <c r="G33" s="13" t="s">
        <v>148</v>
      </c>
    </row>
    <row r="34" spans="1:8" ht="288" customHeight="1" x14ac:dyDescent="0.2">
      <c r="A34" s="61"/>
      <c r="B34" s="2" t="s">
        <v>149</v>
      </c>
      <c r="C34" s="4" t="s">
        <v>150</v>
      </c>
      <c r="D34" s="14" t="s">
        <v>115</v>
      </c>
      <c r="E34" s="14" t="s">
        <v>151</v>
      </c>
      <c r="F34" s="14" t="s">
        <v>152</v>
      </c>
      <c r="G34" s="13" t="s">
        <v>153</v>
      </c>
      <c r="H34" s="13" t="s">
        <v>154</v>
      </c>
    </row>
    <row r="35" spans="1:8" ht="80" customHeight="1" x14ac:dyDescent="0.2">
      <c r="A35" s="57"/>
      <c r="B35" s="2" t="s">
        <v>155</v>
      </c>
      <c r="C35" s="4" t="s">
        <v>156</v>
      </c>
      <c r="D35" s="14" t="s">
        <v>115</v>
      </c>
      <c r="E35" s="14"/>
      <c r="F35" s="14" t="s">
        <v>157</v>
      </c>
      <c r="G35" s="13" t="s">
        <v>158</v>
      </c>
    </row>
    <row r="36" spans="1:8" ht="100" customHeight="1" x14ac:dyDescent="0.2">
      <c r="A36" s="56" t="s">
        <v>159</v>
      </c>
      <c r="B36" s="2" t="s">
        <v>160</v>
      </c>
      <c r="C36" s="4" t="s">
        <v>161</v>
      </c>
      <c r="D36" s="17" t="s">
        <v>12</v>
      </c>
      <c r="E36" s="14" t="s">
        <v>162</v>
      </c>
      <c r="F36" s="14" t="s">
        <v>163</v>
      </c>
      <c r="G36" s="13" t="s">
        <v>164</v>
      </c>
    </row>
    <row r="37" spans="1:8" ht="80" customHeight="1" x14ac:dyDescent="0.2">
      <c r="A37" s="61"/>
      <c r="B37" s="2" t="s">
        <v>165</v>
      </c>
      <c r="C37" s="4" t="s">
        <v>166</v>
      </c>
      <c r="D37" s="17" t="s">
        <v>12</v>
      </c>
      <c r="E37" s="14" t="s">
        <v>167</v>
      </c>
      <c r="F37" s="14" t="s">
        <v>168</v>
      </c>
      <c r="G37" s="13" t="s">
        <v>169</v>
      </c>
    </row>
    <row r="38" spans="1:8" ht="144" customHeight="1" x14ac:dyDescent="0.2">
      <c r="A38" s="61"/>
      <c r="B38" s="2" t="s">
        <v>170</v>
      </c>
      <c r="C38" s="4" t="s">
        <v>171</v>
      </c>
      <c r="D38" s="17" t="s">
        <v>12</v>
      </c>
      <c r="E38" s="14" t="s">
        <v>172</v>
      </c>
      <c r="F38" s="14"/>
      <c r="G38" s="13" t="s">
        <v>173</v>
      </c>
    </row>
    <row r="39" spans="1:8" ht="40" customHeight="1" x14ac:dyDescent="0.2">
      <c r="A39" s="61"/>
      <c r="B39" s="2" t="s">
        <v>174</v>
      </c>
      <c r="C39" s="4" t="s">
        <v>175</v>
      </c>
      <c r="D39" s="17" t="s">
        <v>12</v>
      </c>
      <c r="E39" s="14" t="s">
        <v>176</v>
      </c>
      <c r="F39" s="14"/>
      <c r="G39" s="13" t="s">
        <v>177</v>
      </c>
    </row>
    <row r="40" spans="1:8" ht="80" customHeight="1" x14ac:dyDescent="0.2">
      <c r="A40" s="61"/>
      <c r="B40" s="2" t="s">
        <v>178</v>
      </c>
      <c r="C40" s="4" t="s">
        <v>179</v>
      </c>
      <c r="D40" s="17" t="s">
        <v>12</v>
      </c>
      <c r="E40" s="14" t="s">
        <v>180</v>
      </c>
      <c r="F40" s="14"/>
      <c r="G40" s="13" t="s">
        <v>181</v>
      </c>
    </row>
    <row r="41" spans="1:8" ht="60" customHeight="1" x14ac:dyDescent="0.2">
      <c r="A41" s="61"/>
      <c r="B41" s="2" t="s">
        <v>182</v>
      </c>
      <c r="C41" s="4" t="s">
        <v>183</v>
      </c>
      <c r="D41" s="17" t="s">
        <v>12</v>
      </c>
      <c r="E41" s="14" t="s">
        <v>184</v>
      </c>
      <c r="F41" s="14"/>
      <c r="G41" s="13" t="s">
        <v>185</v>
      </c>
    </row>
    <row r="42" spans="1:8" ht="176" customHeight="1" x14ac:dyDescent="0.2">
      <c r="A42" s="61"/>
      <c r="B42" s="2" t="s">
        <v>186</v>
      </c>
      <c r="C42" s="4" t="s">
        <v>187</v>
      </c>
      <c r="D42" s="17" t="s">
        <v>12</v>
      </c>
      <c r="E42" s="14" t="s">
        <v>188</v>
      </c>
      <c r="F42" s="14"/>
      <c r="G42" s="13" t="s">
        <v>189</v>
      </c>
    </row>
    <row r="43" spans="1:8" ht="80" customHeight="1" x14ac:dyDescent="0.2">
      <c r="A43" s="61"/>
      <c r="B43" s="2" t="s">
        <v>190</v>
      </c>
      <c r="C43" s="4" t="s">
        <v>191</v>
      </c>
      <c r="D43" s="17" t="s">
        <v>12</v>
      </c>
      <c r="E43" s="17" t="s">
        <v>192</v>
      </c>
      <c r="F43" s="17"/>
      <c r="G43" s="13" t="s">
        <v>193</v>
      </c>
    </row>
    <row r="44" spans="1:8" ht="80" customHeight="1" x14ac:dyDescent="0.2">
      <c r="A44" s="57"/>
      <c r="B44" s="2" t="s">
        <v>194</v>
      </c>
      <c r="C44" s="4" t="s">
        <v>195</v>
      </c>
      <c r="D44" s="17" t="s">
        <v>12</v>
      </c>
      <c r="E44" s="17" t="s">
        <v>196</v>
      </c>
      <c r="F44" s="17"/>
      <c r="G44" s="13" t="s">
        <v>197</v>
      </c>
    </row>
    <row r="45" spans="1:8" ht="80" customHeight="1" x14ac:dyDescent="0.2">
      <c r="A45" s="58" t="s">
        <v>198</v>
      </c>
      <c r="B45" s="2" t="s">
        <v>199</v>
      </c>
      <c r="C45" s="4" t="s">
        <v>200</v>
      </c>
      <c r="D45" s="17"/>
      <c r="E45" s="17" t="s">
        <v>201</v>
      </c>
      <c r="F45" s="17"/>
      <c r="G45" s="13" t="s">
        <v>202</v>
      </c>
    </row>
    <row r="46" spans="1:8" ht="60" customHeight="1" x14ac:dyDescent="0.2">
      <c r="A46" s="59"/>
      <c r="B46" s="2" t="s">
        <v>203</v>
      </c>
      <c r="C46" s="4" t="s">
        <v>204</v>
      </c>
      <c r="D46" s="17"/>
      <c r="E46" s="17"/>
      <c r="F46" s="17"/>
    </row>
    <row r="47" spans="1:8" ht="60" customHeight="1" x14ac:dyDescent="0.2">
      <c r="A47" s="59"/>
      <c r="B47" s="2" t="s">
        <v>205</v>
      </c>
      <c r="C47" s="4" t="s">
        <v>206</v>
      </c>
      <c r="D47" s="17"/>
      <c r="E47" s="17" t="s">
        <v>207</v>
      </c>
      <c r="F47" s="17"/>
    </row>
    <row r="48" spans="1:8" ht="60" customHeight="1" x14ac:dyDescent="0.2">
      <c r="A48" s="59"/>
      <c r="B48" s="2" t="s">
        <v>208</v>
      </c>
      <c r="C48" s="4" t="s">
        <v>209</v>
      </c>
      <c r="D48" s="17"/>
      <c r="E48" s="17"/>
      <c r="F48" s="17"/>
    </row>
    <row r="49" spans="1:7" ht="48" customHeight="1" x14ac:dyDescent="0.2">
      <c r="A49" s="59"/>
      <c r="B49" s="2" t="s">
        <v>210</v>
      </c>
      <c r="C49" s="4" t="s">
        <v>211</v>
      </c>
      <c r="D49" s="17"/>
      <c r="E49" s="17" t="s">
        <v>212</v>
      </c>
      <c r="F49" s="17"/>
    </row>
    <row r="50" spans="1:7" ht="40" customHeight="1" x14ac:dyDescent="0.2">
      <c r="A50" s="59"/>
      <c r="B50" s="2" t="s">
        <v>213</v>
      </c>
      <c r="C50" s="4" t="s">
        <v>214</v>
      </c>
      <c r="D50" s="17"/>
      <c r="E50" s="17" t="s">
        <v>215</v>
      </c>
      <c r="F50" s="17"/>
    </row>
    <row r="51" spans="1:7" ht="60" customHeight="1" x14ac:dyDescent="0.2">
      <c r="A51" s="59"/>
      <c r="B51" s="2" t="s">
        <v>216</v>
      </c>
      <c r="C51" s="4" t="s">
        <v>217</v>
      </c>
      <c r="D51" s="17"/>
      <c r="E51" s="17" t="s">
        <v>218</v>
      </c>
      <c r="F51" s="17"/>
    </row>
    <row r="52" spans="1:7" ht="40" customHeight="1" x14ac:dyDescent="0.2">
      <c r="A52" s="59"/>
      <c r="B52" s="2" t="s">
        <v>219</v>
      </c>
      <c r="C52" s="4" t="s">
        <v>220</v>
      </c>
      <c r="D52" s="17"/>
      <c r="E52" s="17" t="s">
        <v>218</v>
      </c>
      <c r="F52" s="17"/>
    </row>
    <row r="53" spans="1:7" ht="60" customHeight="1" x14ac:dyDescent="0.2">
      <c r="A53" s="59"/>
      <c r="B53" s="2" t="s">
        <v>221</v>
      </c>
      <c r="C53" s="4" t="s">
        <v>222</v>
      </c>
      <c r="D53" s="17"/>
      <c r="E53" s="17" t="s">
        <v>223</v>
      </c>
      <c r="F53" s="17"/>
      <c r="G53" s="13" t="s">
        <v>224</v>
      </c>
    </row>
    <row r="54" spans="1:7" ht="40" customHeight="1" x14ac:dyDescent="0.2">
      <c r="A54" s="59"/>
      <c r="B54" s="2" t="s">
        <v>225</v>
      </c>
      <c r="C54" s="4" t="s">
        <v>226</v>
      </c>
      <c r="D54" s="17"/>
      <c r="E54" s="17"/>
      <c r="F54" s="17"/>
    </row>
    <row r="55" spans="1:7" ht="20" customHeight="1" x14ac:dyDescent="0.2">
      <c r="A55" s="60"/>
      <c r="B55" s="2" t="s">
        <v>227</v>
      </c>
      <c r="C55" s="4" t="s">
        <v>228</v>
      </c>
      <c r="D55" s="17"/>
      <c r="E55" s="17"/>
      <c r="F55" s="17"/>
    </row>
    <row r="56" spans="1:7" ht="144" customHeight="1" x14ac:dyDescent="0.2">
      <c r="A56" s="63" t="s">
        <v>229</v>
      </c>
      <c r="B56" s="2" t="s">
        <v>230</v>
      </c>
      <c r="C56" s="4" t="s">
        <v>231</v>
      </c>
      <c r="D56" s="17" t="s">
        <v>232</v>
      </c>
      <c r="E56" s="17" t="s">
        <v>233</v>
      </c>
      <c r="F56" s="17"/>
      <c r="G56" s="13" t="s">
        <v>234</v>
      </c>
    </row>
    <row r="57" spans="1:7" ht="60" customHeight="1" x14ac:dyDescent="0.2">
      <c r="A57" s="59"/>
      <c r="B57" s="2" t="s">
        <v>235</v>
      </c>
      <c r="C57" s="4" t="s">
        <v>236</v>
      </c>
      <c r="D57" s="17" t="s">
        <v>232</v>
      </c>
      <c r="E57" s="17" t="s">
        <v>237</v>
      </c>
      <c r="F57" s="17"/>
    </row>
    <row r="58" spans="1:7" ht="48" customHeight="1" x14ac:dyDescent="0.2">
      <c r="A58" s="60"/>
      <c r="B58" s="2" t="s">
        <v>238</v>
      </c>
      <c r="C58" s="4" t="s">
        <v>239</v>
      </c>
      <c r="D58" s="17" t="s">
        <v>232</v>
      </c>
      <c r="E58" s="17" t="s">
        <v>240</v>
      </c>
      <c r="F58" s="17"/>
      <c r="G58" s="13" t="s">
        <v>241</v>
      </c>
    </row>
    <row r="59" spans="1:7" ht="176" customHeight="1" x14ac:dyDescent="0.2">
      <c r="A59" s="56" t="s">
        <v>242</v>
      </c>
      <c r="B59" s="2" t="s">
        <v>243</v>
      </c>
      <c r="C59" s="4" t="s">
        <v>244</v>
      </c>
      <c r="D59" s="17" t="s">
        <v>245</v>
      </c>
      <c r="E59" s="17" t="s">
        <v>246</v>
      </c>
      <c r="F59" s="17"/>
      <c r="G59" s="13" t="s">
        <v>247</v>
      </c>
    </row>
    <row r="60" spans="1:7" ht="304" customHeight="1" x14ac:dyDescent="0.2">
      <c r="A60" s="61"/>
      <c r="B60" s="2" t="s">
        <v>248</v>
      </c>
      <c r="C60" s="4" t="s">
        <v>249</v>
      </c>
      <c r="D60" s="17" t="s">
        <v>250</v>
      </c>
      <c r="E60" s="17" t="s">
        <v>251</v>
      </c>
      <c r="F60" s="17"/>
      <c r="G60" s="13" t="s">
        <v>252</v>
      </c>
    </row>
    <row r="61" spans="1:7" ht="80" customHeight="1" x14ac:dyDescent="0.2">
      <c r="A61" s="61"/>
      <c r="B61" s="2" t="s">
        <v>253</v>
      </c>
      <c r="C61" s="4" t="s">
        <v>254</v>
      </c>
      <c r="D61" s="17" t="s">
        <v>245</v>
      </c>
      <c r="E61" s="17" t="s">
        <v>255</v>
      </c>
      <c r="F61" s="17"/>
    </row>
    <row r="62" spans="1:7" ht="80" customHeight="1" x14ac:dyDescent="0.2">
      <c r="A62" s="61"/>
      <c r="B62" s="2" t="s">
        <v>256</v>
      </c>
      <c r="C62" s="4" t="s">
        <v>257</v>
      </c>
      <c r="D62" s="17" t="s">
        <v>245</v>
      </c>
      <c r="E62" s="17" t="s">
        <v>258</v>
      </c>
      <c r="F62" s="17"/>
    </row>
    <row r="63" spans="1:7" ht="100" customHeight="1" x14ac:dyDescent="0.2">
      <c r="A63" s="61"/>
      <c r="B63" s="2" t="s">
        <v>259</v>
      </c>
      <c r="C63" s="4" t="s">
        <v>260</v>
      </c>
      <c r="D63" s="17" t="s">
        <v>245</v>
      </c>
      <c r="E63" s="17" t="s">
        <v>261</v>
      </c>
      <c r="F63" s="17"/>
      <c r="G63" s="13" t="s">
        <v>262</v>
      </c>
    </row>
    <row r="64" spans="1:7" ht="48" customHeight="1" x14ac:dyDescent="0.2">
      <c r="A64" s="57"/>
      <c r="B64" s="2" t="s">
        <v>263</v>
      </c>
      <c r="C64" s="4" t="s">
        <v>264</v>
      </c>
      <c r="D64" s="17" t="s">
        <v>245</v>
      </c>
      <c r="E64" s="17" t="s">
        <v>265</v>
      </c>
      <c r="F64" s="17"/>
    </row>
    <row r="65" spans="1:8" ht="112" customHeight="1" x14ac:dyDescent="0.2">
      <c r="A65" s="58" t="s">
        <v>266</v>
      </c>
      <c r="B65" s="2" t="s">
        <v>267</v>
      </c>
      <c r="C65" s="4" t="s">
        <v>268</v>
      </c>
      <c r="D65" s="17" t="s">
        <v>12</v>
      </c>
      <c r="E65" s="17" t="s">
        <v>269</v>
      </c>
      <c r="F65" s="17" t="s">
        <v>270</v>
      </c>
      <c r="G65" s="13" t="s">
        <v>271</v>
      </c>
    </row>
    <row r="66" spans="1:8" ht="40" customHeight="1" x14ac:dyDescent="0.2">
      <c r="A66" s="59"/>
      <c r="B66" s="2" t="s">
        <v>272</v>
      </c>
      <c r="C66" s="4" t="s">
        <v>273</v>
      </c>
      <c r="D66" s="17" t="s">
        <v>12</v>
      </c>
      <c r="E66" s="17" t="s">
        <v>274</v>
      </c>
      <c r="F66" s="17"/>
    </row>
    <row r="67" spans="1:8" ht="208" customHeight="1" x14ac:dyDescent="0.2">
      <c r="A67" s="59"/>
      <c r="B67" s="2" t="s">
        <v>275</v>
      </c>
      <c r="C67" s="4" t="s">
        <v>276</v>
      </c>
      <c r="D67" s="17" t="s">
        <v>12</v>
      </c>
      <c r="E67" s="17" t="s">
        <v>277</v>
      </c>
      <c r="F67" s="17"/>
      <c r="G67" s="13" t="s">
        <v>278</v>
      </c>
    </row>
    <row r="68" spans="1:8" ht="80" customHeight="1" x14ac:dyDescent="0.2">
      <c r="A68" s="59"/>
      <c r="B68" s="2" t="s">
        <v>279</v>
      </c>
      <c r="C68" s="4" t="s">
        <v>280</v>
      </c>
      <c r="D68" s="17" t="s">
        <v>12</v>
      </c>
      <c r="E68" s="17" t="s">
        <v>281</v>
      </c>
      <c r="F68" s="17"/>
    </row>
    <row r="69" spans="1:8" ht="60" customHeight="1" x14ac:dyDescent="0.2">
      <c r="A69" s="59"/>
      <c r="B69" s="2" t="s">
        <v>282</v>
      </c>
      <c r="C69" s="4" t="s">
        <v>283</v>
      </c>
      <c r="D69" s="17" t="s">
        <v>12</v>
      </c>
      <c r="E69" s="17" t="s">
        <v>284</v>
      </c>
      <c r="F69" s="17"/>
    </row>
    <row r="70" spans="1:8" ht="80" customHeight="1" x14ac:dyDescent="0.2">
      <c r="A70" s="59"/>
      <c r="B70" s="2" t="s">
        <v>285</v>
      </c>
      <c r="C70" s="4" t="s">
        <v>286</v>
      </c>
      <c r="D70" s="17" t="s">
        <v>12</v>
      </c>
      <c r="E70" s="17" t="s">
        <v>287</v>
      </c>
      <c r="F70" s="17"/>
    </row>
    <row r="71" spans="1:8" ht="48" customHeight="1" x14ac:dyDescent="0.2">
      <c r="A71" s="59"/>
      <c r="B71" s="2" t="s">
        <v>288</v>
      </c>
      <c r="C71" s="4" t="s">
        <v>289</v>
      </c>
      <c r="D71" s="17" t="s">
        <v>12</v>
      </c>
      <c r="E71" s="17" t="s">
        <v>290</v>
      </c>
      <c r="F71" s="17"/>
    </row>
    <row r="72" spans="1:8" ht="160" customHeight="1" x14ac:dyDescent="0.2">
      <c r="A72" s="59"/>
      <c r="B72" s="2" t="s">
        <v>291</v>
      </c>
      <c r="C72" s="4" t="s">
        <v>292</v>
      </c>
      <c r="D72" s="17" t="s">
        <v>12</v>
      </c>
      <c r="E72" s="17" t="s">
        <v>293</v>
      </c>
      <c r="F72" s="17"/>
    </row>
    <row r="73" spans="1:8" ht="192" customHeight="1" x14ac:dyDescent="0.2">
      <c r="A73" s="60"/>
      <c r="B73" s="2" t="s">
        <v>294</v>
      </c>
      <c r="C73" s="4" t="s">
        <v>295</v>
      </c>
      <c r="D73" s="17" t="s">
        <v>12</v>
      </c>
      <c r="E73" s="17" t="s">
        <v>296</v>
      </c>
      <c r="F73" s="17"/>
    </row>
    <row r="74" spans="1:8" ht="80" customHeight="1" x14ac:dyDescent="0.2">
      <c r="A74" s="56" t="s">
        <v>297</v>
      </c>
      <c r="B74" s="2" t="s">
        <v>298</v>
      </c>
      <c r="C74" s="4" t="s">
        <v>299</v>
      </c>
      <c r="D74" s="14" t="s">
        <v>100</v>
      </c>
      <c r="E74" s="17" t="s">
        <v>300</v>
      </c>
      <c r="F74" s="14" t="s">
        <v>301</v>
      </c>
      <c r="G74" s="13" t="s">
        <v>302</v>
      </c>
    </row>
    <row r="75" spans="1:8" ht="96" customHeight="1" x14ac:dyDescent="0.2">
      <c r="A75" s="57"/>
      <c r="B75" s="2" t="s">
        <v>303</v>
      </c>
      <c r="C75" s="4" t="s">
        <v>304</v>
      </c>
      <c r="D75" s="14" t="s">
        <v>305</v>
      </c>
      <c r="E75" s="14" t="s">
        <v>306</v>
      </c>
      <c r="F75" s="14" t="s">
        <v>307</v>
      </c>
      <c r="G75" s="13" t="s">
        <v>308</v>
      </c>
    </row>
    <row r="76" spans="1:8" ht="128" customHeight="1" x14ac:dyDescent="0.2">
      <c r="A76" s="58" t="s">
        <v>309</v>
      </c>
      <c r="B76" s="2" t="s">
        <v>310</v>
      </c>
      <c r="C76" s="4" t="s">
        <v>311</v>
      </c>
      <c r="D76" s="14" t="s">
        <v>312</v>
      </c>
      <c r="E76" s="14" t="s">
        <v>313</v>
      </c>
      <c r="F76" s="14" t="s">
        <v>314</v>
      </c>
      <c r="G76" s="13" t="s">
        <v>315</v>
      </c>
    </row>
    <row r="77" spans="1:8" ht="96" customHeight="1" x14ac:dyDescent="0.2">
      <c r="A77" s="59"/>
      <c r="B77" s="2" t="s">
        <v>316</v>
      </c>
      <c r="C77" s="4" t="s">
        <v>317</v>
      </c>
      <c r="D77" s="14" t="s">
        <v>312</v>
      </c>
      <c r="E77" s="14" t="s">
        <v>318</v>
      </c>
      <c r="F77" s="14" t="s">
        <v>319</v>
      </c>
      <c r="G77" s="13" t="s">
        <v>320</v>
      </c>
    </row>
    <row r="78" spans="1:8" ht="96" customHeight="1" x14ac:dyDescent="0.2">
      <c r="A78" s="59"/>
      <c r="B78" s="2" t="s">
        <v>321</v>
      </c>
      <c r="C78" s="4" t="s">
        <v>322</v>
      </c>
      <c r="D78" s="14" t="s">
        <v>312</v>
      </c>
      <c r="E78" s="14" t="s">
        <v>323</v>
      </c>
      <c r="F78" s="14" t="s">
        <v>324</v>
      </c>
    </row>
    <row r="79" spans="1:8" ht="96" customHeight="1" x14ac:dyDescent="0.2">
      <c r="A79" s="59"/>
      <c r="B79" s="2" t="s">
        <v>325</v>
      </c>
      <c r="C79" s="4" t="s">
        <v>326</v>
      </c>
      <c r="D79" s="14" t="s">
        <v>312</v>
      </c>
      <c r="E79" s="14" t="s">
        <v>327</v>
      </c>
      <c r="F79" s="14" t="s">
        <v>328</v>
      </c>
      <c r="G79" s="13" t="s">
        <v>329</v>
      </c>
    </row>
    <row r="80" spans="1:8" ht="160" customHeight="1" x14ac:dyDescent="0.2">
      <c r="A80" s="59"/>
      <c r="B80" s="2" t="s">
        <v>330</v>
      </c>
      <c r="C80" s="4" t="s">
        <v>331</v>
      </c>
      <c r="D80" s="14" t="s">
        <v>312</v>
      </c>
      <c r="E80" s="14" t="s">
        <v>332</v>
      </c>
      <c r="F80" s="14" t="s">
        <v>333</v>
      </c>
      <c r="G80" s="13" t="s">
        <v>334</v>
      </c>
      <c r="H80" s="17"/>
    </row>
    <row r="81" spans="1:8" ht="80" customHeight="1" x14ac:dyDescent="0.2">
      <c r="A81" s="60"/>
      <c r="B81" s="2" t="s">
        <v>335</v>
      </c>
      <c r="C81" s="4" t="s">
        <v>336</v>
      </c>
      <c r="D81" s="14" t="s">
        <v>312</v>
      </c>
      <c r="E81" s="51" t="s">
        <v>337</v>
      </c>
      <c r="F81" s="14" t="s">
        <v>338</v>
      </c>
      <c r="G81" s="13" t="s">
        <v>339</v>
      </c>
      <c r="H81" s="14"/>
    </row>
    <row r="82" spans="1:8" ht="120" customHeight="1" x14ac:dyDescent="0.2">
      <c r="A82" s="56" t="s">
        <v>340</v>
      </c>
      <c r="B82" s="2" t="s">
        <v>341</v>
      </c>
      <c r="C82" s="4" t="s">
        <v>342</v>
      </c>
      <c r="D82" s="17" t="s">
        <v>232</v>
      </c>
      <c r="E82" s="17" t="s">
        <v>343</v>
      </c>
      <c r="F82" s="17"/>
      <c r="G82" s="13" t="s">
        <v>344</v>
      </c>
    </row>
    <row r="83" spans="1:8" ht="144" customHeight="1" x14ac:dyDescent="0.2">
      <c r="A83" s="61"/>
      <c r="B83" s="2" t="s">
        <v>345</v>
      </c>
      <c r="C83" s="4" t="s">
        <v>346</v>
      </c>
      <c r="D83" s="17" t="s">
        <v>232</v>
      </c>
      <c r="E83" s="17" t="s">
        <v>347</v>
      </c>
      <c r="F83" s="17"/>
      <c r="G83" s="13" t="s">
        <v>348</v>
      </c>
    </row>
    <row r="84" spans="1:8" ht="112" customHeight="1" x14ac:dyDescent="0.2">
      <c r="A84" s="57"/>
      <c r="B84" s="2" t="s">
        <v>349</v>
      </c>
      <c r="C84" s="4" t="s">
        <v>350</v>
      </c>
      <c r="D84" s="17" t="s">
        <v>232</v>
      </c>
      <c r="E84" s="17" t="s">
        <v>351</v>
      </c>
      <c r="F84" s="17"/>
      <c r="G84" s="13" t="s">
        <v>352</v>
      </c>
    </row>
    <row r="85" spans="1:8" ht="60" customHeight="1" x14ac:dyDescent="0.2">
      <c r="A85" s="56" t="s">
        <v>353</v>
      </c>
      <c r="B85" s="2" t="s">
        <v>354</v>
      </c>
      <c r="C85" s="4" t="s">
        <v>355</v>
      </c>
      <c r="D85" s="17" t="s">
        <v>12</v>
      </c>
      <c r="E85" s="17" t="s">
        <v>356</v>
      </c>
      <c r="F85" s="17"/>
      <c r="G85" s="13" t="s">
        <v>357</v>
      </c>
    </row>
    <row r="86" spans="1:8" ht="60" customHeight="1" x14ac:dyDescent="0.2">
      <c r="A86" s="61"/>
      <c r="B86" s="2" t="s">
        <v>358</v>
      </c>
      <c r="C86" s="4" t="s">
        <v>359</v>
      </c>
      <c r="D86" s="17" t="s">
        <v>12</v>
      </c>
      <c r="E86" s="14" t="s">
        <v>360</v>
      </c>
      <c r="F86" s="14"/>
      <c r="G86" s="13" t="s">
        <v>361</v>
      </c>
    </row>
    <row r="87" spans="1:8" ht="48" customHeight="1" x14ac:dyDescent="0.2">
      <c r="A87" s="61"/>
      <c r="B87" s="2" t="s">
        <v>362</v>
      </c>
      <c r="C87" s="4" t="s">
        <v>363</v>
      </c>
      <c r="D87" s="17" t="s">
        <v>12</v>
      </c>
      <c r="E87" s="14" t="s">
        <v>364</v>
      </c>
      <c r="F87" s="14"/>
      <c r="G87" s="13" t="s">
        <v>365</v>
      </c>
    </row>
    <row r="88" spans="1:8" ht="120" customHeight="1" x14ac:dyDescent="0.2">
      <c r="A88" s="57"/>
      <c r="B88" s="2" t="s">
        <v>366</v>
      </c>
      <c r="C88" s="4" t="s">
        <v>367</v>
      </c>
      <c r="D88" s="17" t="s">
        <v>12</v>
      </c>
      <c r="E88" s="14" t="s">
        <v>368</v>
      </c>
      <c r="F88" s="14"/>
    </row>
    <row r="89" spans="1:8" ht="100" customHeight="1" x14ac:dyDescent="0.2">
      <c r="A89" s="58" t="s">
        <v>369</v>
      </c>
      <c r="B89" s="2" t="s">
        <v>370</v>
      </c>
      <c r="C89" s="4" t="s">
        <v>371</v>
      </c>
      <c r="D89" s="14" t="s">
        <v>372</v>
      </c>
      <c r="E89" s="14"/>
      <c r="F89" s="14"/>
    </row>
    <row r="90" spans="1:8" ht="224" customHeight="1" x14ac:dyDescent="0.2">
      <c r="A90" s="59"/>
      <c r="B90" s="2" t="s">
        <v>373</v>
      </c>
      <c r="C90" s="4" t="s">
        <v>374</v>
      </c>
      <c r="D90" s="14" t="s">
        <v>372</v>
      </c>
      <c r="E90" s="14" t="s">
        <v>375</v>
      </c>
      <c r="F90" s="13" t="s">
        <v>376</v>
      </c>
      <c r="G90" s="13" t="s">
        <v>377</v>
      </c>
    </row>
    <row r="91" spans="1:8" ht="48" customHeight="1" x14ac:dyDescent="0.2">
      <c r="A91" s="59"/>
      <c r="B91" s="2" t="s">
        <v>378</v>
      </c>
      <c r="C91" s="4" t="s">
        <v>379</v>
      </c>
      <c r="D91" s="14" t="s">
        <v>372</v>
      </c>
      <c r="E91" s="14" t="s">
        <v>380</v>
      </c>
      <c r="F91" s="14"/>
      <c r="G91" s="13" t="s">
        <v>381</v>
      </c>
    </row>
    <row r="92" spans="1:8" ht="176" customHeight="1" x14ac:dyDescent="0.2">
      <c r="A92" s="59"/>
      <c r="B92" s="2" t="s">
        <v>382</v>
      </c>
      <c r="C92" s="4" t="s">
        <v>383</v>
      </c>
      <c r="D92" s="14" t="s">
        <v>372</v>
      </c>
      <c r="E92" s="14" t="s">
        <v>384</v>
      </c>
      <c r="F92" s="14"/>
      <c r="G92" s="13" t="s">
        <v>385</v>
      </c>
      <c r="H92" s="13" t="s">
        <v>386</v>
      </c>
    </row>
    <row r="93" spans="1:8" ht="96" customHeight="1" x14ac:dyDescent="0.2">
      <c r="A93" s="59"/>
      <c r="B93" s="2" t="s">
        <v>387</v>
      </c>
      <c r="C93" s="4" t="s">
        <v>388</v>
      </c>
      <c r="D93" s="14" t="s">
        <v>372</v>
      </c>
      <c r="E93" s="14" t="s">
        <v>389</v>
      </c>
      <c r="F93" s="14"/>
    </row>
    <row r="94" spans="1:8" ht="60" customHeight="1" x14ac:dyDescent="0.2">
      <c r="A94" s="59"/>
      <c r="B94" s="2" t="s">
        <v>390</v>
      </c>
      <c r="C94" s="4" t="s">
        <v>391</v>
      </c>
      <c r="D94" s="14" t="s">
        <v>372</v>
      </c>
      <c r="E94" s="14"/>
      <c r="F94" s="14"/>
    </row>
    <row r="95" spans="1:8" ht="100" customHeight="1" x14ac:dyDescent="0.2">
      <c r="A95" s="59"/>
      <c r="B95" s="2" t="s">
        <v>392</v>
      </c>
      <c r="C95" s="4" t="s">
        <v>393</v>
      </c>
      <c r="D95" s="14" t="s">
        <v>372</v>
      </c>
      <c r="E95" s="14" t="s">
        <v>394</v>
      </c>
      <c r="F95" s="14"/>
      <c r="G95" s="13" t="s">
        <v>395</v>
      </c>
    </row>
    <row r="96" spans="1:8" ht="80" customHeight="1" x14ac:dyDescent="0.2">
      <c r="A96" s="59"/>
      <c r="B96" s="2" t="s">
        <v>396</v>
      </c>
      <c r="C96" s="4" t="s">
        <v>397</v>
      </c>
      <c r="D96" s="14" t="s">
        <v>372</v>
      </c>
      <c r="E96" s="14" t="s">
        <v>398</v>
      </c>
      <c r="F96" s="14"/>
    </row>
    <row r="97" spans="1:7" ht="96" customHeight="1" x14ac:dyDescent="0.2">
      <c r="A97" s="59"/>
      <c r="B97" s="2" t="s">
        <v>399</v>
      </c>
      <c r="C97" s="4" t="s">
        <v>400</v>
      </c>
      <c r="D97" s="14" t="s">
        <v>372</v>
      </c>
      <c r="E97" s="14" t="s">
        <v>401</v>
      </c>
      <c r="F97" s="14"/>
      <c r="G97" s="13" t="s">
        <v>402</v>
      </c>
    </row>
    <row r="98" spans="1:7" ht="40" customHeight="1" x14ac:dyDescent="0.2">
      <c r="A98" s="59"/>
      <c r="B98" s="2" t="s">
        <v>403</v>
      </c>
      <c r="C98" s="4" t="s">
        <v>404</v>
      </c>
      <c r="D98" s="14" t="s">
        <v>372</v>
      </c>
      <c r="E98" s="14" t="s">
        <v>405</v>
      </c>
      <c r="F98" s="14" t="s">
        <v>406</v>
      </c>
      <c r="G98" s="13" t="s">
        <v>407</v>
      </c>
    </row>
    <row r="99" spans="1:7" ht="40" customHeight="1" x14ac:dyDescent="0.2">
      <c r="A99" s="59"/>
      <c r="B99" s="2" t="s">
        <v>408</v>
      </c>
      <c r="C99" s="4" t="s">
        <v>409</v>
      </c>
      <c r="D99" s="14" t="s">
        <v>372</v>
      </c>
      <c r="E99" s="14"/>
      <c r="F99" s="14"/>
      <c r="G99" s="13" t="s">
        <v>410</v>
      </c>
    </row>
    <row r="100" spans="1:7" ht="60" customHeight="1" x14ac:dyDescent="0.2">
      <c r="A100" s="59"/>
      <c r="B100" s="2" t="s">
        <v>411</v>
      </c>
      <c r="C100" s="4" t="s">
        <v>412</v>
      </c>
      <c r="D100" s="14" t="s">
        <v>372</v>
      </c>
      <c r="E100" s="14" t="s">
        <v>413</v>
      </c>
      <c r="F100" s="14"/>
      <c r="G100" s="13" t="s">
        <v>414</v>
      </c>
    </row>
    <row r="101" spans="1:7" ht="32" customHeight="1" x14ac:dyDescent="0.2">
      <c r="A101" s="59"/>
      <c r="B101" s="2" t="s">
        <v>415</v>
      </c>
      <c r="C101" s="4" t="s">
        <v>416</v>
      </c>
      <c r="D101" s="14" t="s">
        <v>372</v>
      </c>
      <c r="E101" s="14" t="s">
        <v>417</v>
      </c>
      <c r="F101" s="14"/>
      <c r="G101" s="13" t="s">
        <v>418</v>
      </c>
    </row>
    <row r="102" spans="1:7" ht="112" customHeight="1" x14ac:dyDescent="0.2">
      <c r="A102" s="59"/>
      <c r="B102" s="2" t="s">
        <v>419</v>
      </c>
      <c r="C102" s="4" t="s">
        <v>420</v>
      </c>
      <c r="D102" s="14" t="s">
        <v>372</v>
      </c>
      <c r="E102" s="14" t="s">
        <v>421</v>
      </c>
      <c r="F102" s="14"/>
      <c r="G102" s="13" t="s">
        <v>422</v>
      </c>
    </row>
    <row r="103" spans="1:7" ht="48" customHeight="1" x14ac:dyDescent="0.2">
      <c r="A103" s="59"/>
      <c r="B103" s="2" t="s">
        <v>423</v>
      </c>
      <c r="C103" s="4" t="s">
        <v>424</v>
      </c>
      <c r="D103" s="14" t="s">
        <v>372</v>
      </c>
      <c r="E103" s="14" t="s">
        <v>425</v>
      </c>
      <c r="F103" s="14"/>
    </row>
    <row r="104" spans="1:7" ht="20" customHeight="1" x14ac:dyDescent="0.2">
      <c r="A104" s="60"/>
      <c r="B104" s="2" t="s">
        <v>426</v>
      </c>
      <c r="C104" s="4" t="s">
        <v>427</v>
      </c>
      <c r="D104" s="14" t="s">
        <v>372</v>
      </c>
      <c r="E104" s="14" t="s">
        <v>428</v>
      </c>
      <c r="F104" s="14"/>
    </row>
    <row r="105" spans="1:7" ht="96" customHeight="1" x14ac:dyDescent="0.2">
      <c r="A105" s="58" t="s">
        <v>429</v>
      </c>
      <c r="B105" s="2" t="s">
        <v>430</v>
      </c>
      <c r="C105" s="4" t="s">
        <v>431</v>
      </c>
      <c r="D105" s="14" t="s">
        <v>232</v>
      </c>
      <c r="E105" s="14" t="s">
        <v>432</v>
      </c>
      <c r="F105" s="14"/>
    </row>
    <row r="106" spans="1:7" ht="60" customHeight="1" x14ac:dyDescent="0.2">
      <c r="A106" s="59"/>
      <c r="B106" s="2" t="s">
        <v>433</v>
      </c>
      <c r="C106" s="4" t="s">
        <v>434</v>
      </c>
      <c r="D106" s="14" t="s">
        <v>232</v>
      </c>
      <c r="E106" s="14" t="s">
        <v>435</v>
      </c>
      <c r="F106" s="14"/>
    </row>
    <row r="107" spans="1:7" ht="64" customHeight="1" x14ac:dyDescent="0.2">
      <c r="A107" s="59"/>
      <c r="B107" s="2" t="s">
        <v>436</v>
      </c>
      <c r="C107" s="4" t="s">
        <v>437</v>
      </c>
      <c r="D107" s="14" t="s">
        <v>232</v>
      </c>
      <c r="E107" s="14" t="s">
        <v>438</v>
      </c>
      <c r="F107" s="14"/>
    </row>
    <row r="108" spans="1:7" ht="64" customHeight="1" x14ac:dyDescent="0.2">
      <c r="A108" s="59"/>
      <c r="B108" s="2" t="s">
        <v>439</v>
      </c>
      <c r="C108" s="4" t="s">
        <v>440</v>
      </c>
      <c r="D108" s="14" t="s">
        <v>232</v>
      </c>
      <c r="E108" s="17" t="s">
        <v>441</v>
      </c>
      <c r="F108" s="17"/>
      <c r="G108" s="13" t="s">
        <v>442</v>
      </c>
    </row>
    <row r="109" spans="1:7" ht="60" customHeight="1" x14ac:dyDescent="0.2">
      <c r="A109" s="59"/>
      <c r="B109" s="2" t="s">
        <v>443</v>
      </c>
      <c r="C109" s="4" t="s">
        <v>444</v>
      </c>
      <c r="D109" s="14" t="s">
        <v>232</v>
      </c>
      <c r="E109" s="17" t="s">
        <v>445</v>
      </c>
      <c r="F109" s="17"/>
      <c r="G109" s="13" t="s">
        <v>446</v>
      </c>
    </row>
    <row r="110" spans="1:7" ht="60" customHeight="1" x14ac:dyDescent="0.2">
      <c r="A110" s="59"/>
      <c r="B110" s="2" t="s">
        <v>447</v>
      </c>
      <c r="C110" s="4" t="s">
        <v>448</v>
      </c>
      <c r="D110" s="14" t="s">
        <v>232</v>
      </c>
      <c r="E110" s="17" t="s">
        <v>449</v>
      </c>
      <c r="F110" s="17"/>
    </row>
    <row r="111" spans="1:7" ht="64" customHeight="1" x14ac:dyDescent="0.2">
      <c r="A111" s="60"/>
      <c r="B111" s="2" t="s">
        <v>450</v>
      </c>
      <c r="C111" s="4" t="s">
        <v>451</v>
      </c>
      <c r="D111" s="14" t="s">
        <v>232</v>
      </c>
      <c r="E111" s="17" t="s">
        <v>452</v>
      </c>
      <c r="F111" s="17"/>
      <c r="G111" s="13" t="s">
        <v>453</v>
      </c>
    </row>
    <row r="112" spans="1:7" x14ac:dyDescent="0.25">
      <c r="A112" s="7"/>
      <c r="B112" s="8"/>
      <c r="C112" s="5"/>
      <c r="D112" s="21"/>
      <c r="E112" s="22"/>
      <c r="F112" s="23">
        <f>SUM(F2:F111)</f>
        <v>0</v>
      </c>
    </row>
  </sheetData>
  <mergeCells count="14">
    <mergeCell ref="A89:A104"/>
    <mergeCell ref="A2:A23"/>
    <mergeCell ref="A36:A44"/>
    <mergeCell ref="A85:A88"/>
    <mergeCell ref="A105:A111"/>
    <mergeCell ref="A24:A26"/>
    <mergeCell ref="A76:A81"/>
    <mergeCell ref="A45:A55"/>
    <mergeCell ref="A56:A58"/>
    <mergeCell ref="A74:A75"/>
    <mergeCell ref="A65:A73"/>
    <mergeCell ref="A27:A35"/>
    <mergeCell ref="A82:A84"/>
    <mergeCell ref="A59:A64"/>
  </mergeCells>
  <conditionalFormatting sqref="C2:C29">
    <cfRule type="containsText" dxfId="11" priority="1" operator="containsText" text="Inherited">
      <formula>NOT(ISERROR(SEARCH("Inherited",C2)))</formula>
    </cfRule>
    <cfRule type="containsText" dxfId="10" priority="2" operator="containsText" text="Out of Scope">
      <formula>NOT(ISERROR(SEARCH("Out of Scope",C2)))</formula>
    </cfRule>
    <cfRule type="containsText" dxfId="9" priority="3" operator="containsText" text="Pass">
      <formula>NOT(ISERROR(SEARCH("Pass",C2)))</formula>
    </cfRule>
    <cfRule type="containsText" dxfId="8" priority="4" operator="containsText" text="Fail">
      <formula>NOT(ISERROR(SEARCH("Fail",C2)))</formula>
    </cfRule>
  </conditionalFormatting>
  <conditionalFormatting sqref="C31:C50">
    <cfRule type="containsText" dxfId="7" priority="66" operator="containsText" text="Inherited">
      <formula>NOT(ISERROR(SEARCH("Inherited",C31)))</formula>
    </cfRule>
    <cfRule type="containsText" dxfId="6" priority="67" operator="containsText" text="Out of Scope">
      <formula>NOT(ISERROR(SEARCH("Out of Scope",C31)))</formula>
    </cfRule>
    <cfRule type="containsText" dxfId="5" priority="68" operator="containsText" text="Pass">
      <formula>NOT(ISERROR(SEARCH("Pass",C31)))</formula>
    </cfRule>
    <cfRule type="containsText" dxfId="4" priority="69" operator="containsText" text="Fail">
      <formula>NOT(ISERROR(SEARCH("Fail",C31)))</formula>
    </cfRule>
  </conditionalFormatting>
  <conditionalFormatting sqref="C55:C111">
    <cfRule type="containsText" dxfId="3" priority="9" operator="containsText" text="Inherited">
      <formula>NOT(ISERROR(SEARCH("Inherited",C55)))</formula>
    </cfRule>
    <cfRule type="containsText" dxfId="2" priority="10" operator="containsText" text="Out of Scope">
      <formula>NOT(ISERROR(SEARCH("Out of Scope",C55)))</formula>
    </cfRule>
    <cfRule type="containsText" dxfId="1" priority="11" operator="containsText" text="Pass">
      <formula>NOT(ISERROR(SEARCH("Pass",C55)))</formula>
    </cfRule>
    <cfRule type="containsText" dxfId="0" priority="12" operator="containsText" text="Fail">
      <formula>NOT(ISERROR(SEARCH("Fail",C55)))</formula>
    </cfRule>
  </conditionalFormatting>
  <pageMargins left="0.7" right="0.7" top="0.75" bottom="0.75" header="0.3" footer="0.3"/>
  <headerFooter>
    <oddFooter>&amp;L&amp;"Calibri"&amp;11 &amp;K0000FF_x000D_# COLSA Proprietary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3"/>
  <sheetViews>
    <sheetView zoomScale="130" zoomScaleNormal="130" workbookViewId="0">
      <selection activeCell="C5" sqref="C5"/>
    </sheetView>
  </sheetViews>
  <sheetFormatPr baseColWidth="10" defaultColWidth="10.6640625" defaultRowHeight="16" x14ac:dyDescent="0.2"/>
  <cols>
    <col min="1" max="1" width="10.6640625" style="1" customWidth="1"/>
    <col min="2" max="2" width="24.6640625" style="1" customWidth="1"/>
    <col min="3" max="3" width="10.6640625" style="1" customWidth="1"/>
    <col min="4" max="4" width="82.5" style="1" bestFit="1" customWidth="1"/>
    <col min="5" max="5" width="10.6640625" style="1" customWidth="1"/>
    <col min="6" max="6" width="8.6640625" style="1" customWidth="1"/>
    <col min="7" max="7" width="10.6640625" style="1" customWidth="1"/>
    <col min="8" max="16384" width="10.6640625" style="1"/>
  </cols>
  <sheetData>
    <row r="1" spans="1:5" ht="24" customHeight="1" x14ac:dyDescent="0.2">
      <c r="A1" s="28"/>
      <c r="B1" s="29"/>
      <c r="C1" s="28"/>
      <c r="D1" s="29"/>
      <c r="E1" s="28"/>
    </row>
    <row r="2" spans="1:5" ht="36" customHeight="1" x14ac:dyDescent="0.2">
      <c r="A2" s="30"/>
      <c r="B2" s="31" t="s">
        <v>454</v>
      </c>
      <c r="C2" s="32" t="s">
        <v>455</v>
      </c>
      <c r="D2" s="33" t="s">
        <v>456</v>
      </c>
      <c r="E2" s="34"/>
    </row>
    <row r="3" spans="1:5" ht="17" customHeight="1" x14ac:dyDescent="0.2">
      <c r="A3" s="28"/>
      <c r="B3" s="35"/>
      <c r="C3" s="36" t="s">
        <v>457</v>
      </c>
      <c r="D3" s="37"/>
      <c r="E3" s="34"/>
    </row>
    <row r="4" spans="1:5" ht="34" customHeight="1" x14ac:dyDescent="0.2">
      <c r="A4" s="28"/>
      <c r="B4" s="38"/>
      <c r="C4" s="39" t="s">
        <v>458</v>
      </c>
      <c r="D4" s="40" t="s">
        <v>459</v>
      </c>
      <c r="E4" s="34"/>
    </row>
    <row r="5" spans="1:5" ht="17" customHeight="1" x14ac:dyDescent="0.2">
      <c r="A5" s="28"/>
      <c r="B5" s="38"/>
      <c r="C5" s="41" t="s">
        <v>460</v>
      </c>
      <c r="D5" s="42" t="s">
        <v>461</v>
      </c>
      <c r="E5" s="34"/>
    </row>
    <row r="6" spans="1:5" x14ac:dyDescent="0.2">
      <c r="A6" s="28"/>
      <c r="B6" s="29"/>
      <c r="C6" s="43"/>
      <c r="D6" s="43"/>
      <c r="E6" s="28"/>
    </row>
    <row r="7" spans="1:5" ht="22.25" customHeight="1" x14ac:dyDescent="0.2">
      <c r="A7" s="30"/>
      <c r="B7" s="44" t="s">
        <v>462</v>
      </c>
      <c r="C7" s="45" t="s">
        <v>455</v>
      </c>
      <c r="D7" s="46" t="s">
        <v>463</v>
      </c>
      <c r="E7" s="34"/>
    </row>
    <row r="8" spans="1:5" ht="22.25" customHeight="1" x14ac:dyDescent="0.2">
      <c r="A8" s="28"/>
      <c r="B8" s="47"/>
      <c r="C8" s="48" t="s">
        <v>457</v>
      </c>
      <c r="D8" s="49" t="s">
        <v>464</v>
      </c>
      <c r="E8" s="34"/>
    </row>
    <row r="9" spans="1:5" x14ac:dyDescent="0.2">
      <c r="A9" s="28"/>
      <c r="B9" s="28"/>
      <c r="C9" s="50"/>
      <c r="D9" s="50"/>
      <c r="E9" s="28"/>
    </row>
    <row r="10" spans="1:5" x14ac:dyDescent="0.2">
      <c r="A10" s="28"/>
      <c r="B10" s="28"/>
      <c r="C10" s="28"/>
      <c r="D10" s="28"/>
      <c r="E10" s="28"/>
    </row>
    <row r="11" spans="1:5" x14ac:dyDescent="0.2">
      <c r="A11" s="28"/>
      <c r="B11" s="28"/>
      <c r="C11" s="28"/>
      <c r="D11" s="28"/>
      <c r="E11" s="28"/>
    </row>
    <row r="12" spans="1:5" x14ac:dyDescent="0.2">
      <c r="A12" s="28"/>
      <c r="B12" s="28"/>
      <c r="C12" s="28"/>
      <c r="D12" s="28"/>
      <c r="E12" s="28"/>
    </row>
    <row r="13" spans="1:5" x14ac:dyDescent="0.2">
      <c r="A13" s="28"/>
      <c r="B13" s="28"/>
      <c r="C13" s="28"/>
      <c r="D13" s="28"/>
      <c r="E13" s="28"/>
    </row>
  </sheetData>
  <pageMargins left="0.7" right="0.7" top="0.75" bottom="0.75" header="0.3" footer="0.3"/>
  <headerFooter>
    <oddFooter>&amp;L&amp;"Calibri"&amp;11 &amp;K0000FF_x000D_# COLSA Proprietary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
  <sheetViews>
    <sheetView workbookViewId="0"/>
  </sheetViews>
  <sheetFormatPr baseColWidth="10" defaultColWidth="8.83203125" defaultRowHeight="15" x14ac:dyDescent="0.2"/>
  <cols>
    <col min="1" max="2" width="30.33203125" customWidth="1"/>
    <col min="3" max="3" width="51" customWidth="1"/>
    <col min="4" max="4" width="30.33203125" customWidth="1"/>
    <col min="5" max="5" width="49.5" customWidth="1"/>
    <col min="6" max="6" width="44.5" customWidth="1"/>
    <col min="7" max="7" width="47.33203125" customWidth="1"/>
    <col min="8" max="9" width="30.33203125" customWidth="1"/>
  </cols>
  <sheetData>
    <row r="1" spans="1:9" ht="34" x14ac:dyDescent="0.2">
      <c r="A1" s="52" t="s">
        <v>0</v>
      </c>
      <c r="B1" s="52" t="s">
        <v>1</v>
      </c>
      <c r="C1" s="52" t="s">
        <v>2</v>
      </c>
      <c r="D1" s="53" t="s">
        <v>3</v>
      </c>
      <c r="E1" s="53" t="s">
        <v>4</v>
      </c>
      <c r="F1" s="53" t="s">
        <v>5</v>
      </c>
      <c r="G1" s="54" t="s">
        <v>6</v>
      </c>
      <c r="H1" s="53" t="s">
        <v>7</v>
      </c>
      <c r="I1" s="55"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14</vt:i4>
      </vt:variant>
    </vt:vector>
  </HeadingPairs>
  <TitlesOfParts>
    <vt:vector size="14" baseType="lpstr">
      <vt:lpstr>Cheat Sheet</vt:lpstr>
      <vt:lpstr>Scoring</vt:lpstr>
      <vt:lpstr>Audit and Accountability</vt:lpstr>
      <vt:lpstr>Configuration Management</vt:lpstr>
      <vt:lpstr>Identification and Authenticati</vt:lpstr>
      <vt:lpstr>Incident Response</vt:lpstr>
      <vt:lpstr>Maintenance</vt:lpstr>
      <vt:lpstr>Media Protection</vt:lpstr>
      <vt:lpstr>Personnel Security</vt:lpstr>
      <vt:lpstr>Physical Protection</vt:lpstr>
      <vt:lpstr>Risk Assessment</vt:lpstr>
      <vt:lpstr>Security Assessment</vt:lpstr>
      <vt:lpstr>System and Communications Prote</vt:lpstr>
      <vt:lpstr>System and Information Integrit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Darian</dc:creator>
  <cp:lastModifiedBy>Kyle Cain</cp:lastModifiedBy>
  <dcterms:created xsi:type="dcterms:W3CDTF">2020-05-04T19:32:36Z</dcterms:created>
  <dcterms:modified xsi:type="dcterms:W3CDTF">2026-01-20T15:28:58Z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0x010100319D3182673F3848B75FD4A91F84C91D</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2023-05-06T21:26:07Z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50a81cdc-f3d5-45a1-83e8-51e930e12ead</vt:lpwstr>
  </property>
  <property fmtid="{D5CDD505-2E9C-101B-9397-08002B2CF9AE}" pid="9" name="MSIP_Label_defa4170-0d19-0005-0004-bc88714345d2_ActionId">
    <vt:lpwstr>96bf59a5-8c85-4e22-a48d-81b2dffae5c8</vt:lpwstr>
  </property>
  <property fmtid="{D5CDD505-2E9C-101B-9397-08002B2CF9AE}" pid="10" name="MSIP_Label_defa4170-0d19-0005-0004-bc88714345d2_ContentBits">
    <vt:lpwstr>0</vt:lpwstr>
  </property>
  <property fmtid="{D5CDD505-2E9C-101B-9397-08002B2CF9AE}" pid="11" name="MSIP_Label_2668fbe2-541e-406b-b0ed-afb50ff0fa43_Enabled">
    <vt:lpwstr>true</vt:lpwstr>
  </property>
  <property fmtid="{D5CDD505-2E9C-101B-9397-08002B2CF9AE}" pid="12" name="MSIP_Label_2668fbe2-541e-406b-b0ed-afb50ff0fa43_SetDate">
    <vt:lpwstr>2025-08-05T17:49:38Z</vt:lpwstr>
  </property>
  <property fmtid="{D5CDD505-2E9C-101B-9397-08002B2CF9AE}" pid="13" name="MSIP_Label_2668fbe2-541e-406b-b0ed-afb50ff0fa43_Method">
    <vt:lpwstr>Standard</vt:lpwstr>
  </property>
  <property fmtid="{D5CDD505-2E9C-101B-9397-08002B2CF9AE}" pid="14" name="MSIP_Label_2668fbe2-541e-406b-b0ed-afb50ff0fa43_Name">
    <vt:lpwstr>COLSA Proprietary Basic</vt:lpwstr>
  </property>
  <property fmtid="{D5CDD505-2E9C-101B-9397-08002B2CF9AE}" pid="15" name="MSIP_Label_2668fbe2-541e-406b-b0ed-afb50ff0fa43_SiteId">
    <vt:lpwstr>9821086b-7882-4b43-a5ed-b1e979bee31f</vt:lpwstr>
  </property>
  <property fmtid="{D5CDD505-2E9C-101B-9397-08002B2CF9AE}" pid="16" name="MSIP_Label_2668fbe2-541e-406b-b0ed-afb50ff0fa43_ActionId">
    <vt:lpwstr>e8f2ebb8-8d8f-42da-b00c-2587c821c03c</vt:lpwstr>
  </property>
  <property fmtid="{D5CDD505-2E9C-101B-9397-08002B2CF9AE}" pid="17" name="MSIP_Label_2668fbe2-541e-406b-b0ed-afb50ff0fa43_ContentBits">
    <vt:lpwstr>2</vt:lpwstr>
  </property>
  <property fmtid="{D5CDD505-2E9C-101B-9397-08002B2CF9AE}" pid="18" name="MSIP_Label_2668fbe2-541e-406b-b0ed-afb50ff0fa43_Tag">
    <vt:lpwstr>10, 3, 0, 1</vt:lpwstr>
  </property>
</Properties>
</file>